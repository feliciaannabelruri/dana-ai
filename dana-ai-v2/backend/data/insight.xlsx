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visible" name="Sheet2" sheetId="2" r:id="rId6"/>
    <sheet state="visible" name="Sheet3" sheetId="3" r:id="rId7"/>
    <sheet state="visible" name="Sheet4" sheetId="4" r:id="rId8"/>
  </sheets>
  <definedNames/>
  <calcPr/>
</workbook>
</file>

<file path=xl/sharedStrings.xml><?xml version="1.0" encoding="utf-8"?>
<sst xmlns="http://schemas.openxmlformats.org/spreadsheetml/2006/main" count="5572" uniqueCount="1468">
  <si>
    <t>No</t>
  </si>
  <si>
    <t>Username</t>
  </si>
  <si>
    <t>Type</t>
  </si>
  <si>
    <t>Tier</t>
  </si>
  <si>
    <t>Keterangan Lokasi</t>
  </si>
  <si>
    <t>Social Media</t>
  </si>
  <si>
    <t>Followers</t>
  </si>
  <si>
    <t>Kategory</t>
  </si>
  <si>
    <t>Nama PIC</t>
  </si>
  <si>
    <t>Contact PIC</t>
  </si>
  <si>
    <t>Rate Card</t>
  </si>
  <si>
    <t>elianarsyd</t>
  </si>
  <si>
    <t>Makro</t>
  </si>
  <si>
    <t>Surabaya</t>
  </si>
  <si>
    <t>Tiktok</t>
  </si>
  <si>
    <t>117K</t>
  </si>
  <si>
    <t>Career&amp;self development</t>
  </si>
  <si>
    <t>Admin</t>
  </si>
  <si>
    <t>1,300,000</t>
  </si>
  <si>
    <t>IG Reels</t>
  </si>
  <si>
    <t>1,200,000</t>
  </si>
  <si>
    <t>Bundling (mirroring)</t>
  </si>
  <si>
    <t>2,000,000</t>
  </si>
  <si>
    <t>jennitanuwijayaaa</t>
  </si>
  <si>
    <t>Nano</t>
  </si>
  <si>
    <t>Entrepreneurship/Business Content</t>
  </si>
  <si>
    <t>nbstory_</t>
  </si>
  <si>
    <t>Mikro</t>
  </si>
  <si>
    <t>Jakarta</t>
  </si>
  <si>
    <t>11,6K</t>
  </si>
  <si>
    <t>Lifestyle &amp; Relationship</t>
  </si>
  <si>
    <t>Belby</t>
  </si>
  <si>
    <t>-</t>
  </si>
  <si>
    <t>kevinmillenio</t>
  </si>
  <si>
    <t>Gading Serpong</t>
  </si>
  <si>
    <t>372,8K</t>
  </si>
  <si>
    <t>Entertainment</t>
  </si>
  <si>
    <t>Triska</t>
  </si>
  <si>
    <t>35,000,000</t>
  </si>
  <si>
    <t>20,000,000</t>
  </si>
  <si>
    <t>kesyasunnn</t>
  </si>
  <si>
    <t>189,7K</t>
  </si>
  <si>
    <t>12,000,000</t>
  </si>
  <si>
    <t>8,000,000</t>
  </si>
  <si>
    <t>femimaringka</t>
  </si>
  <si>
    <t>138,4K</t>
  </si>
  <si>
    <t>firamaringka</t>
  </si>
  <si>
    <t>360,1K</t>
  </si>
  <si>
    <t>25,000,000</t>
  </si>
  <si>
    <t>11,000,000</t>
  </si>
  <si>
    <t>tituschrst</t>
  </si>
  <si>
    <t>169,8K</t>
  </si>
  <si>
    <t>10,000,000</t>
  </si>
  <si>
    <t>5,000,000</t>
  </si>
  <si>
    <t>trio.reog</t>
  </si>
  <si>
    <t>318,3K</t>
  </si>
  <si>
    <t>7,000,000</t>
  </si>
  <si>
    <t>3,500,000</t>
  </si>
  <si>
    <t>misyandpiyo</t>
  </si>
  <si>
    <t>259,6K</t>
  </si>
  <si>
    <t>Family &amp; Parenting</t>
  </si>
  <si>
    <t>dinna_ashari15</t>
  </si>
  <si>
    <t>Mega (but in 2026 viewers drop)</t>
  </si>
  <si>
    <t>Palembang</t>
  </si>
  <si>
    <t>2,3M</t>
  </si>
  <si>
    <t>1,000,000</t>
  </si>
  <si>
    <t>1,850,000</t>
  </si>
  <si>
    <t>rapundel</t>
  </si>
  <si>
    <t>Tasikmalaya</t>
  </si>
  <si>
    <t>481,3K</t>
  </si>
  <si>
    <t>Education</t>
  </si>
  <si>
    <t>Team</t>
  </si>
  <si>
    <t>6,000,000</t>
  </si>
  <si>
    <t>shaaaqy</t>
  </si>
  <si>
    <t>835K</t>
  </si>
  <si>
    <t>Lifestyle &amp; Entertainment</t>
  </si>
  <si>
    <t>Natasha (manager)</t>
  </si>
  <si>
    <t>24,000,000</t>
  </si>
  <si>
    <t>kenn1iro (adik nya zara jkt 48)</t>
  </si>
  <si>
    <t>Manager</t>
  </si>
  <si>
    <t>rafiarliansyahh</t>
  </si>
  <si>
    <t>44,7K</t>
  </si>
  <si>
    <t>Cakra</t>
  </si>
  <si>
    <t>1,500,000</t>
  </si>
  <si>
    <t>2,500,000</t>
  </si>
  <si>
    <t>theresalearns</t>
  </si>
  <si>
    <t>139,8K</t>
  </si>
  <si>
    <t>Shafira</t>
  </si>
  <si>
    <t>23,000,000</t>
  </si>
  <si>
    <t>28,000,000</t>
  </si>
  <si>
    <t>clausetyohadi</t>
  </si>
  <si>
    <t>13.4K</t>
  </si>
  <si>
    <t>Family &amp; Lifestyle</t>
  </si>
  <si>
    <t>Viola</t>
  </si>
  <si>
    <t>Youtube</t>
  </si>
  <si>
    <t>nadbelinda</t>
  </si>
  <si>
    <t>37K</t>
  </si>
  <si>
    <t>Education &amp; Lifestyle</t>
  </si>
  <si>
    <t>Bimo</t>
  </si>
  <si>
    <t>sheilatohir</t>
  </si>
  <si>
    <t>Lifestyle</t>
  </si>
  <si>
    <t>Juandini</t>
  </si>
  <si>
    <t>Story Instagram</t>
  </si>
  <si>
    <t>istrikuarab</t>
  </si>
  <si>
    <t>76.6K</t>
  </si>
  <si>
    <t>admin</t>
  </si>
  <si>
    <t>15,000,000</t>
  </si>
  <si>
    <t>Couple Tiktok</t>
  </si>
  <si>
    <t>65,000,000</t>
  </si>
  <si>
    <t>shabrinnaadfii</t>
  </si>
  <si>
    <t>Mega</t>
  </si>
  <si>
    <t>2.5M</t>
  </si>
  <si>
    <t>45,000,000</t>
  </si>
  <si>
    <t>darasarasvaati</t>
  </si>
  <si>
    <t>Yogyakarta-Jakarta</t>
  </si>
  <si>
    <t>2M</t>
  </si>
  <si>
    <t>Beauty</t>
  </si>
  <si>
    <t>admin creallo</t>
  </si>
  <si>
    <t>40,000,000</t>
  </si>
  <si>
    <t>50,000,000</t>
  </si>
  <si>
    <t>75,000,000</t>
  </si>
  <si>
    <t>patriciangelss</t>
  </si>
  <si>
    <t>Tangerang</t>
  </si>
  <si>
    <t>198,4K</t>
  </si>
  <si>
    <t>3,800,000</t>
  </si>
  <si>
    <t>4,700,000</t>
  </si>
  <si>
    <t>7,500,000</t>
  </si>
  <si>
    <t>fikriahmadbaihaqi</t>
  </si>
  <si>
    <t>136,9K</t>
  </si>
  <si>
    <t>Edutaiment &amp; Storyteller</t>
  </si>
  <si>
    <t>4,500,000</t>
  </si>
  <si>
    <t>efenerr</t>
  </si>
  <si>
    <t>41,5K</t>
  </si>
  <si>
    <t>3,000,000</t>
  </si>
  <si>
    <t>safreza</t>
  </si>
  <si>
    <t>774K</t>
  </si>
  <si>
    <t>5,500,000</t>
  </si>
  <si>
    <t>ripapskidipapap</t>
  </si>
  <si>
    <t>Yogyakarta</t>
  </si>
  <si>
    <t>233K</t>
  </si>
  <si>
    <t>arieunoo</t>
  </si>
  <si>
    <t>85,1K</t>
  </si>
  <si>
    <t>Comedy</t>
  </si>
  <si>
    <t>4,000,000</t>
  </si>
  <si>
    <t>andikahonda</t>
  </si>
  <si>
    <t>689,6K</t>
  </si>
  <si>
    <t>Sports</t>
  </si>
  <si>
    <t>eloardoaruanse</t>
  </si>
  <si>
    <t>292K</t>
  </si>
  <si>
    <t>arifrfq</t>
  </si>
  <si>
    <t>222,5K</t>
  </si>
  <si>
    <t>aaroby13</t>
  </si>
  <si>
    <t>Bandung</t>
  </si>
  <si>
    <t>417,7K</t>
  </si>
  <si>
    <t>adrianmattheis</t>
  </si>
  <si>
    <t>Sorong,Papua</t>
  </si>
  <si>
    <t>256,6K</t>
  </si>
  <si>
    <t>affanafhan</t>
  </si>
  <si>
    <t>67,3K</t>
  </si>
  <si>
    <t>afifahhayusaa</t>
  </si>
  <si>
    <t>Instagram</t>
  </si>
  <si>
    <t>133K</t>
  </si>
  <si>
    <t>IG Story (3)</t>
  </si>
  <si>
    <t>IG Foto</t>
  </si>
  <si>
    <t>albertsatria</t>
  </si>
  <si>
    <t>60,1K</t>
  </si>
  <si>
    <t>alexanderr.chris</t>
  </si>
  <si>
    <t>33,1K</t>
  </si>
  <si>
    <t>ardiwejas</t>
  </si>
  <si>
    <t>63,8K</t>
  </si>
  <si>
    <t>attuurrr_</t>
  </si>
  <si>
    <t>Sulawesi</t>
  </si>
  <si>
    <t>23,6K</t>
  </si>
  <si>
    <t>awingaljamal</t>
  </si>
  <si>
    <t>Semarang</t>
  </si>
  <si>
    <t>181,5K</t>
  </si>
  <si>
    <t>ayuniwulandarii</t>
  </si>
  <si>
    <t>Bali</t>
  </si>
  <si>
    <t>16,2K</t>
  </si>
  <si>
    <t>2,300,000</t>
  </si>
  <si>
    <t>bayusyuha</t>
  </si>
  <si>
    <t>14,1K</t>
  </si>
  <si>
    <t>bebekpacking</t>
  </si>
  <si>
    <t>49,3K</t>
  </si>
  <si>
    <t>bntgmaz</t>
  </si>
  <si>
    <t>411,7K</t>
  </si>
  <si>
    <t>chacil</t>
  </si>
  <si>
    <t>Bogor</t>
  </si>
  <si>
    <t>41,9K</t>
  </si>
  <si>
    <t>3 IGS</t>
  </si>
  <si>
    <t>Feeds</t>
  </si>
  <si>
    <t>choirul_huda02</t>
  </si>
  <si>
    <t>1,3M</t>
  </si>
  <si>
    <t>6,600,000</t>
  </si>
  <si>
    <t>claudiahalim</t>
  </si>
  <si>
    <t>143,6K</t>
  </si>
  <si>
    <t>1,800,000</t>
  </si>
  <si>
    <t>1,150,000</t>
  </si>
  <si>
    <t>cytoplazm</t>
  </si>
  <si>
    <t>112,2K</t>
  </si>
  <si>
    <t>daffaalfalah</t>
  </si>
  <si>
    <t>71K</t>
  </si>
  <si>
    <t>darakezia</t>
  </si>
  <si>
    <t>226K</t>
  </si>
  <si>
    <t>13,000,000</t>
  </si>
  <si>
    <t>davrizojol</t>
  </si>
  <si>
    <t>181,7K</t>
  </si>
  <si>
    <t>deandraptr</t>
  </si>
  <si>
    <t>Depok</t>
  </si>
  <si>
    <t>737,2K</t>
  </si>
  <si>
    <t>6,500,000</t>
  </si>
  <si>
    <t>vaniawinolaa</t>
  </si>
  <si>
    <t>Jakarta/Surabaya</t>
  </si>
  <si>
    <t>1,8M</t>
  </si>
  <si>
    <t>Education,Lifestyle,Beauty</t>
  </si>
  <si>
    <t>Doni</t>
  </si>
  <si>
    <t>21,000,000</t>
  </si>
  <si>
    <t>30,000,000</t>
  </si>
  <si>
    <t>42,600,000</t>
  </si>
  <si>
    <t>hermaprabayanti</t>
  </si>
  <si>
    <t>1,2M</t>
  </si>
  <si>
    <t>Mompreneur,Dosen,Lifestyle</t>
  </si>
  <si>
    <t>16,000,000</t>
  </si>
  <si>
    <t>papa.ayok</t>
  </si>
  <si>
    <t>250,8K</t>
  </si>
  <si>
    <t>Comedy,Daily Vlog,Lifestyle</t>
  </si>
  <si>
    <t>loveforworkingmom</t>
  </si>
  <si>
    <t>Balikpapan</t>
  </si>
  <si>
    <t>12,1K</t>
  </si>
  <si>
    <t>Working Mom,Lifestyle, Family</t>
  </si>
  <si>
    <t>taasya_putri</t>
  </si>
  <si>
    <t>Medan</t>
  </si>
  <si>
    <t>cicipuputt</t>
  </si>
  <si>
    <t>13K</t>
  </si>
  <si>
    <t>Lifestyle, Entertainment</t>
  </si>
  <si>
    <t>celinetrysahanaa</t>
  </si>
  <si>
    <t>salmazzhra18</t>
  </si>
  <si>
    <t>26,5K</t>
  </si>
  <si>
    <t>Tiktok Photo slide</t>
  </si>
  <si>
    <t>Tiktok Video</t>
  </si>
  <si>
    <t>issaisbusy</t>
  </si>
  <si>
    <t>Owning</t>
  </si>
  <si>
    <t>Bundling (VT+YC)</t>
  </si>
  <si>
    <t>garaisyaaroha</t>
  </si>
  <si>
    <t>Working Mom,Lifestyle, Fashion</t>
  </si>
  <si>
    <t>IG Story</t>
  </si>
  <si>
    <t>IG Feeds</t>
  </si>
  <si>
    <t>ilhmpryogaa</t>
  </si>
  <si>
    <t>44,6K</t>
  </si>
  <si>
    <t>Edutaiment &amp; Lifestyle</t>
  </si>
  <si>
    <t>itsurcorporatemom</t>
  </si>
  <si>
    <t>kyla</t>
  </si>
  <si>
    <t>sapphire.dumps</t>
  </si>
  <si>
    <t>naf wa</t>
  </si>
  <si>
    <t>Visit 1x rate</t>
  </si>
  <si>
    <t>Yellow Cart</t>
  </si>
  <si>
    <t>FREE</t>
  </si>
  <si>
    <t>kelas_digitalmarketing</t>
  </si>
  <si>
    <t>17,2K</t>
  </si>
  <si>
    <t>UGC</t>
  </si>
  <si>
    <t>wa mas jamed</t>
  </si>
  <si>
    <t>Tiktok based on target views</t>
  </si>
  <si>
    <t>50,000-200,000 views Rp.1.000.000</t>
  </si>
  <si>
    <t>yayanvol2</t>
  </si>
  <si>
    <t>Makassar</t>
  </si>
  <si>
    <t>email</t>
  </si>
  <si>
    <r>
      <rPr>
        <rFont val="&quot;Aptos Narrow&quot;, sans-serif"/>
        <color rgb="FF1155CC"/>
        <sz val="11.0"/>
        <u/>
      </rPr>
      <t>alfriantisabaruddin@icloud.com</t>
    </r>
  </si>
  <si>
    <t>Raw File</t>
  </si>
  <si>
    <t>sallwaadr_</t>
  </si>
  <si>
    <t>Bekasi</t>
  </si>
  <si>
    <t>wa pribadi</t>
  </si>
  <si>
    <t>shofinazhr</t>
  </si>
  <si>
    <t>132,2K</t>
  </si>
  <si>
    <t>Working Mom, Lifestyle ,Education</t>
  </si>
  <si>
    <t>nana</t>
  </si>
  <si>
    <t>2,700,000</t>
  </si>
  <si>
    <t>3,200,000</t>
  </si>
  <si>
    <t>ditoowww_</t>
  </si>
  <si>
    <t>Minahasa, Sulawesi Utara</t>
  </si>
  <si>
    <t>114,6K</t>
  </si>
  <si>
    <t>dsalanti</t>
  </si>
  <si>
    <t>294K</t>
  </si>
  <si>
    <t>Edutainment &amp; Storyteller</t>
  </si>
  <si>
    <t>8,500,000</t>
  </si>
  <si>
    <t>ellasyaarli</t>
  </si>
  <si>
    <t>14K</t>
  </si>
  <si>
    <t>esdawetirengii</t>
  </si>
  <si>
    <t>236,8K</t>
  </si>
  <si>
    <t>febriihikaru</t>
  </si>
  <si>
    <t>91K</t>
  </si>
  <si>
    <t>fitzgeraldsalendu</t>
  </si>
  <si>
    <t>Serang</t>
  </si>
  <si>
    <t>43,9K</t>
  </si>
  <si>
    <t>frianimation.official</t>
  </si>
  <si>
    <t>464,7K</t>
  </si>
  <si>
    <t>gledysveronica</t>
  </si>
  <si>
    <t>354K</t>
  </si>
  <si>
    <t>harrisvriza</t>
  </si>
  <si>
    <t>Pasuruan,Jawa Timur</t>
  </si>
  <si>
    <t>4,1M</t>
  </si>
  <si>
    <t>hiedajarwo</t>
  </si>
  <si>
    <t>281K</t>
  </si>
  <si>
    <t>IbnuRiza</t>
  </si>
  <si>
    <t>122K</t>
  </si>
  <si>
    <t>ichalagoo</t>
  </si>
  <si>
    <t>Jambi</t>
  </si>
  <si>
    <t>2,5M</t>
  </si>
  <si>
    <t>ikmalsyentil</t>
  </si>
  <si>
    <t>26,8K</t>
  </si>
  <si>
    <t>Fashion &amp; Beauty</t>
  </si>
  <si>
    <t>ininael</t>
  </si>
  <si>
    <t>135,5K</t>
  </si>
  <si>
    <t>iqbalmrj_</t>
  </si>
  <si>
    <t>22,3K</t>
  </si>
  <si>
    <t>irfan_elsiami</t>
  </si>
  <si>
    <t>Banjarmasin</t>
  </si>
  <si>
    <t>47,9K</t>
  </si>
  <si>
    <t>irsyaaaaddd</t>
  </si>
  <si>
    <t>1,5M</t>
  </si>
  <si>
    <t>irzannfaiq</t>
  </si>
  <si>
    <t>963K</t>
  </si>
  <si>
    <t>jaiwan26_</t>
  </si>
  <si>
    <t>107,2K</t>
  </si>
  <si>
    <t>Sport</t>
  </si>
  <si>
    <t>jebamm</t>
  </si>
  <si>
    <t>49K</t>
  </si>
  <si>
    <t>jelfiblezynsky</t>
  </si>
  <si>
    <t>710,6K</t>
  </si>
  <si>
    <t>Beauty &amp; Lifestyle</t>
  </si>
  <si>
    <t>14,500,000</t>
  </si>
  <si>
    <t>9,000,000</t>
  </si>
  <si>
    <t>kikydian_ang</t>
  </si>
  <si>
    <t>110K</t>
  </si>
  <si>
    <t>mahessaaaaa_</t>
  </si>
  <si>
    <t>22,1K</t>
  </si>
  <si>
    <t>1,600,000</t>
  </si>
  <si>
    <t>maldinim.t</t>
  </si>
  <si>
    <t>72K</t>
  </si>
  <si>
    <t>mariatheodoree</t>
  </si>
  <si>
    <t>961K</t>
  </si>
  <si>
    <t>maskokoganteng</t>
  </si>
  <si>
    <t>1,1M</t>
  </si>
  <si>
    <t>megankilsch</t>
  </si>
  <si>
    <t>20K</t>
  </si>
  <si>
    <t>misstanaman</t>
  </si>
  <si>
    <t>48,1K</t>
  </si>
  <si>
    <t>mozabhitaa</t>
  </si>
  <si>
    <t>182K</t>
  </si>
  <si>
    <t>8,800,000</t>
  </si>
  <si>
    <t>9,500,000</t>
  </si>
  <si>
    <t>nellanovildaa</t>
  </si>
  <si>
    <t>16K</t>
  </si>
  <si>
    <t>nyonyomanaf</t>
  </si>
  <si>
    <t>134K</t>
  </si>
  <si>
    <t>nzrarahma</t>
  </si>
  <si>
    <t>Lampung</t>
  </si>
  <si>
    <t>51K</t>
  </si>
  <si>
    <t>pamelaaudrey</t>
  </si>
  <si>
    <t>250K</t>
  </si>
  <si>
    <t>perkedeleee</t>
  </si>
  <si>
    <t>123,5K</t>
  </si>
  <si>
    <t>3,300,000</t>
  </si>
  <si>
    <t>pitengz2.0</t>
  </si>
  <si>
    <t>99,1K</t>
  </si>
  <si>
    <t>pun10nengg</t>
  </si>
  <si>
    <t>484,7K</t>
  </si>
  <si>
    <t>qqueenie.wong</t>
  </si>
  <si>
    <t>54,1K</t>
  </si>
  <si>
    <t>raishazhramnda</t>
  </si>
  <si>
    <t>92K</t>
  </si>
  <si>
    <t>rifka_martha</t>
  </si>
  <si>
    <t>474K</t>
  </si>
  <si>
    <t>1,100,000</t>
  </si>
  <si>
    <t>rizardila</t>
  </si>
  <si>
    <t>517,6K</t>
  </si>
  <si>
    <t>Beauty &amp; Fashion</t>
  </si>
  <si>
    <t>13,500,000</t>
  </si>
  <si>
    <t>19,500,000</t>
  </si>
  <si>
    <t>rizkyvanarsy</t>
  </si>
  <si>
    <t>298,4K</t>
  </si>
  <si>
    <t>rizqihedrika</t>
  </si>
  <si>
    <t>341,9K</t>
  </si>
  <si>
    <t>romiardifa</t>
  </si>
  <si>
    <t>812,1K</t>
  </si>
  <si>
    <t>sakhi_callist</t>
  </si>
  <si>
    <t>Malang</t>
  </si>
  <si>
    <t>93K</t>
  </si>
  <si>
    <t>salsatadya</t>
  </si>
  <si>
    <t>Sumatera</t>
  </si>
  <si>
    <t>12K</t>
  </si>
  <si>
    <t>sangpemandu</t>
  </si>
  <si>
    <t>Majalengka,Kertajari</t>
  </si>
  <si>
    <t>182,7K</t>
  </si>
  <si>
    <t>saniyroza</t>
  </si>
  <si>
    <t>79K</t>
  </si>
  <si>
    <t>sarahsabilla</t>
  </si>
  <si>
    <t>38,2K</t>
  </si>
  <si>
    <t>saskydwi</t>
  </si>
  <si>
    <t>Kediri-Malang</t>
  </si>
  <si>
    <t>150K</t>
  </si>
  <si>
    <t>2,200,000</t>
  </si>
  <si>
    <t>1,250,000</t>
  </si>
  <si>
    <t>sepiahara</t>
  </si>
  <si>
    <t>600,8K</t>
  </si>
  <si>
    <t>shanneoctavia</t>
  </si>
  <si>
    <t>800,3K</t>
  </si>
  <si>
    <t>shuxxart</t>
  </si>
  <si>
    <t>208,1K</t>
  </si>
  <si>
    <t>sin.sr</t>
  </si>
  <si>
    <t>893K</t>
  </si>
  <si>
    <t>4,200,000</t>
  </si>
  <si>
    <t>steven.kurniawann</t>
  </si>
  <si>
    <t>696K</t>
  </si>
  <si>
    <t>22,000,000</t>
  </si>
  <si>
    <t>syahlaeffendi</t>
  </si>
  <si>
    <t>218K</t>
  </si>
  <si>
    <t>taammonste</t>
  </si>
  <si>
    <t>ystrdynow</t>
  </si>
  <si>
    <t>1,4M</t>
  </si>
  <si>
    <t>taniaoktavianik</t>
  </si>
  <si>
    <t>Cimahi</t>
  </si>
  <si>
    <t>73K</t>
  </si>
  <si>
    <t>tekmasterid</t>
  </si>
  <si>
    <t>Jawa Timur</t>
  </si>
  <si>
    <t>405,4K</t>
  </si>
  <si>
    <t>telysarendra</t>
  </si>
  <si>
    <t>tetobbm</t>
  </si>
  <si>
    <t>213,9K</t>
  </si>
  <si>
    <t>vivinsinclair</t>
  </si>
  <si>
    <t>58K</t>
  </si>
  <si>
    <t>widiwww19</t>
  </si>
  <si>
    <t>62,4K</t>
  </si>
  <si>
    <t>windaoktriya</t>
  </si>
  <si>
    <t>36K</t>
  </si>
  <si>
    <t>yogialfauzi</t>
  </si>
  <si>
    <t>yukendpong</t>
  </si>
  <si>
    <t>70,5K</t>
  </si>
  <si>
    <t>yusrilyudane</t>
  </si>
  <si>
    <t>Lombok</t>
  </si>
  <si>
    <t>270,1K</t>
  </si>
  <si>
    <t>hyung_rylx</t>
  </si>
  <si>
    <t>279,9K</t>
  </si>
  <si>
    <t>saniamaki</t>
  </si>
  <si>
    <t>Minahasa</t>
  </si>
  <si>
    <t>21,7K</t>
  </si>
  <si>
    <t>1,400,000</t>
  </si>
  <si>
    <t>karinaadevi</t>
  </si>
  <si>
    <t>145K</t>
  </si>
  <si>
    <t>lol.yf</t>
  </si>
  <si>
    <t>11,8K</t>
  </si>
  <si>
    <t>queenofbekaseh</t>
  </si>
  <si>
    <t>114,9K</t>
  </si>
  <si>
    <t>lilscott_x</t>
  </si>
  <si>
    <t>25,6K</t>
  </si>
  <si>
    <t>aquilaaaa_1</t>
  </si>
  <si>
    <t>224,3K</t>
  </si>
  <si>
    <t>4,800,000</t>
  </si>
  <si>
    <t>berlliana.lovell</t>
  </si>
  <si>
    <t>4M</t>
  </si>
  <si>
    <t>mellacarli</t>
  </si>
  <si>
    <t>3,2M</t>
  </si>
  <si>
    <t>ybriel</t>
  </si>
  <si>
    <t>fenny</t>
  </si>
  <si>
    <t>lifebyhian</t>
  </si>
  <si>
    <t>32,3K</t>
  </si>
  <si>
    <t>Lifestyle &amp; Travelling</t>
  </si>
  <si>
    <t>lifebyhian at ig</t>
  </si>
  <si>
    <t>Story Pic</t>
  </si>
  <si>
    <t>Reels</t>
  </si>
  <si>
    <t>daddyciuw</t>
  </si>
  <si>
    <t>51,8K</t>
  </si>
  <si>
    <t>Kuliner &amp; Travelling</t>
  </si>
  <si>
    <t>Ig mirror Tiktok</t>
  </si>
  <si>
    <t>rizkamarizkaheyhey</t>
  </si>
  <si>
    <t>tiktok langsung</t>
  </si>
  <si>
    <t>Tiktok mirror ig</t>
  </si>
  <si>
    <t>spotsbyvio</t>
  </si>
  <si>
    <t>viona</t>
  </si>
  <si>
    <t>rufrain</t>
  </si>
  <si>
    <t>75,2K</t>
  </si>
  <si>
    <t>cerryhr</t>
  </si>
  <si>
    <t>Cerry</t>
  </si>
  <si>
    <t>Tiktok start from</t>
  </si>
  <si>
    <t>Content only no post</t>
  </si>
  <si>
    <t>Long Travel Vlog</t>
  </si>
  <si>
    <t>traveltya</t>
  </si>
  <si>
    <t>on dm tiktok</t>
  </si>
  <si>
    <t>traveler.budget</t>
  </si>
  <si>
    <t>terserah offering dari kita aja</t>
  </si>
  <si>
    <t>japuhhh</t>
  </si>
  <si>
    <t>24,6K</t>
  </si>
  <si>
    <t>Jihan</t>
  </si>
  <si>
    <t>bungafslm</t>
  </si>
  <si>
    <t>22,6K</t>
  </si>
  <si>
    <t>dm tiktok</t>
  </si>
  <si>
    <t>taranandoete</t>
  </si>
  <si>
    <t>227K</t>
  </si>
  <si>
    <t>tarnandoete</t>
  </si>
  <si>
    <t>Bundling</t>
  </si>
  <si>
    <t>javanesecobra</t>
  </si>
  <si>
    <t>wafi</t>
  </si>
  <si>
    <t>eunvinae</t>
  </si>
  <si>
    <t>Tiktok video (rate nyesuaiin kita aja)</t>
  </si>
  <si>
    <t>Salsabilayasmine</t>
  </si>
  <si>
    <t>36,8K</t>
  </si>
  <si>
    <t>Salsabila</t>
  </si>
  <si>
    <t>neptunekids</t>
  </si>
  <si>
    <t>Travelling</t>
  </si>
  <si>
    <t>arrazipr</t>
  </si>
  <si>
    <t>96K</t>
  </si>
  <si>
    <t>Mom &amp; Kids</t>
  </si>
  <si>
    <t>Sisil</t>
  </si>
  <si>
    <t>3,900,000</t>
  </si>
  <si>
    <t>kadafi dewana</t>
  </si>
  <si>
    <t>232K</t>
  </si>
  <si>
    <t>Rofiq</t>
  </si>
  <si>
    <t>Chrisheilla Caroline</t>
  </si>
  <si>
    <t>20,1K</t>
  </si>
  <si>
    <t>Chrisheilla</t>
  </si>
  <si>
    <t>Story (3)</t>
  </si>
  <si>
    <t>Hosting event</t>
  </si>
  <si>
    <t>Sambel Uleg</t>
  </si>
  <si>
    <t>Wa Cp Personal</t>
  </si>
  <si>
    <t>susidevitaa</t>
  </si>
  <si>
    <t>Solo</t>
  </si>
  <si>
    <t>285,3K</t>
  </si>
  <si>
    <t>Tiktok Cp Personal</t>
  </si>
  <si>
    <t>earlyta dewi</t>
  </si>
  <si>
    <t>Lifestyle &amp;Komedi</t>
  </si>
  <si>
    <t>yudhibronch</t>
  </si>
  <si>
    <t>127,5K</t>
  </si>
  <si>
    <t>bukangadisbukanjanda</t>
  </si>
  <si>
    <t>Lifestyle &amp;DailyLife</t>
  </si>
  <si>
    <t>IG Post</t>
  </si>
  <si>
    <t>syal.d</t>
  </si>
  <si>
    <t>10,7K</t>
  </si>
  <si>
    <t>Daily Life</t>
  </si>
  <si>
    <t>IGS</t>
  </si>
  <si>
    <t>Visit</t>
  </si>
  <si>
    <t>yuemima</t>
  </si>
  <si>
    <t>97,7K</t>
  </si>
  <si>
    <t>hotmahitatanjung</t>
  </si>
  <si>
    <t>Cibubur</t>
  </si>
  <si>
    <t>22,5K</t>
  </si>
  <si>
    <t>cekman_05</t>
  </si>
  <si>
    <t>Aceh</t>
  </si>
  <si>
    <t>192,8K</t>
  </si>
  <si>
    <t>Daily Life &amp; Komedi</t>
  </si>
  <si>
    <t>Facebook</t>
  </si>
  <si>
    <t>ibxygy</t>
  </si>
  <si>
    <t>748,8K</t>
  </si>
  <si>
    <t>Parodi &amp;Komedi</t>
  </si>
  <si>
    <t>meladraftina</t>
  </si>
  <si>
    <t>tasyaamran_</t>
  </si>
  <si>
    <t>IG Reels (ig folls 13,5K)</t>
  </si>
  <si>
    <t>santaidulubun</t>
  </si>
  <si>
    <t>Dailylife</t>
  </si>
  <si>
    <t>Tiktok Mirror add on IG Reels</t>
  </si>
  <si>
    <t>emaksatuanak09</t>
  </si>
  <si>
    <t>Rembang,Jawa Tengah</t>
  </si>
  <si>
    <t>325,2K</t>
  </si>
  <si>
    <t>Tiktok mirror IG Reels</t>
  </si>
  <si>
    <t>intansarass_</t>
  </si>
  <si>
    <t>69,9K</t>
  </si>
  <si>
    <t>Add on Tiktok</t>
  </si>
  <si>
    <t>1,700,000</t>
  </si>
  <si>
    <t>zhaenalzhen</t>
  </si>
  <si>
    <t>2,6M</t>
  </si>
  <si>
    <t>momiflorens</t>
  </si>
  <si>
    <t>hajariah_aizuddin</t>
  </si>
  <si>
    <t>37.8K</t>
  </si>
  <si>
    <t>Rembang Jateng</t>
  </si>
  <si>
    <t>84.9K</t>
  </si>
  <si>
    <t>afrzalvn</t>
  </si>
  <si>
    <t>IG</t>
  </si>
  <si>
    <t>10.4K</t>
  </si>
  <si>
    <t>dm IG</t>
  </si>
  <si>
    <t>mirawidia1993</t>
  </si>
  <si>
    <t>Karawang</t>
  </si>
  <si>
    <t>19.2K</t>
  </si>
  <si>
    <t>riska_andi</t>
  </si>
  <si>
    <t>Sulawesi Selatan</t>
  </si>
  <si>
    <t>50.1K</t>
  </si>
  <si>
    <t>idhrdw</t>
  </si>
  <si>
    <t>Batam</t>
  </si>
  <si>
    <t>11.1K</t>
  </si>
  <si>
    <t>cak...bogang</t>
  </si>
  <si>
    <t>285.8K</t>
  </si>
  <si>
    <t>novitaniken97</t>
  </si>
  <si>
    <t>1K</t>
  </si>
  <si>
    <t>bocil_tanyoe</t>
  </si>
  <si>
    <t>8.2K</t>
  </si>
  <si>
    <t>mami_rumba</t>
  </si>
  <si>
    <t>Cilacap</t>
  </si>
  <si>
    <t>lielismaulana</t>
  </si>
  <si>
    <t>11,4K</t>
  </si>
  <si>
    <t>mamaridastory</t>
  </si>
  <si>
    <t>3,3K</t>
  </si>
  <si>
    <t>faisalrahminho_</t>
  </si>
  <si>
    <t>Bojonegoro,Jawa Timur</t>
  </si>
  <si>
    <t>22K</t>
  </si>
  <si>
    <t>clurut mania</t>
  </si>
  <si>
    <t>Sidoarjo</t>
  </si>
  <si>
    <t>180K</t>
  </si>
  <si>
    <t>2x Tiktok</t>
  </si>
  <si>
    <t>2x Tiktok &amp; IG Reels</t>
  </si>
  <si>
    <t>lakmi_21</t>
  </si>
  <si>
    <t>1,6M</t>
  </si>
  <si>
    <t>Story</t>
  </si>
  <si>
    <t>lams_kuy</t>
  </si>
  <si>
    <t>2,800,000</t>
  </si>
  <si>
    <t>ririorzl</t>
  </si>
  <si>
    <t>Cimahi, Bandung</t>
  </si>
  <si>
    <t>651,5K</t>
  </si>
  <si>
    <t>rizki</t>
  </si>
  <si>
    <t>maryamzei</t>
  </si>
  <si>
    <t>224,6K</t>
  </si>
  <si>
    <t>aldi setiawan</t>
  </si>
  <si>
    <t>3,5M</t>
  </si>
  <si>
    <t>caca</t>
  </si>
  <si>
    <t>oribel</t>
  </si>
  <si>
    <t>Madiun</t>
  </si>
  <si>
    <t>200K</t>
  </si>
  <si>
    <t>anja</t>
  </si>
  <si>
    <t>taravsanomali</t>
  </si>
  <si>
    <t>Purwokerto,Jawa Tengah</t>
  </si>
  <si>
    <t>tara</t>
  </si>
  <si>
    <t>nnuafa</t>
  </si>
  <si>
    <t>1,650,000</t>
  </si>
  <si>
    <t>fiorentinagultom</t>
  </si>
  <si>
    <t>60,5K</t>
  </si>
  <si>
    <t>luckynlara</t>
  </si>
  <si>
    <t>125,8K</t>
  </si>
  <si>
    <t>Jesslyn</t>
  </si>
  <si>
    <t>saputra andi</t>
  </si>
  <si>
    <t>566,3K</t>
  </si>
  <si>
    <t>bidadaribekasih</t>
  </si>
  <si>
    <t>dayana</t>
  </si>
  <si>
    <t>yochands</t>
  </si>
  <si>
    <t>3,7M</t>
  </si>
  <si>
    <t>Yosua</t>
  </si>
  <si>
    <t>6,900,000</t>
  </si>
  <si>
    <t>3,700,000</t>
  </si>
  <si>
    <t>mfantoo</t>
  </si>
  <si>
    <t>126,2K</t>
  </si>
  <si>
    <t>DM Tiktok</t>
  </si>
  <si>
    <t>selviwithvi</t>
  </si>
  <si>
    <t>24,3K</t>
  </si>
  <si>
    <t>Tiktok+ spark ads 60 hari</t>
  </si>
  <si>
    <t>Tiktok+ spark ads 180 hari</t>
  </si>
  <si>
    <t>cerita_anaktv</t>
  </si>
  <si>
    <t>Owning Content</t>
  </si>
  <si>
    <t>Teripunk88</t>
  </si>
  <si>
    <t>Dwikapramesty</t>
  </si>
  <si>
    <t>Morra</t>
  </si>
  <si>
    <t>cuoksnt</t>
  </si>
  <si>
    <t>480,3K</t>
  </si>
  <si>
    <t>Echa</t>
  </si>
  <si>
    <t>roykiosaki_</t>
  </si>
  <si>
    <t>Bengkulu</t>
  </si>
  <si>
    <t>396,6K</t>
  </si>
  <si>
    <t>Full Paket (reels,fb,tiktok)</t>
  </si>
  <si>
    <t>chicashareseverything</t>
  </si>
  <si>
    <t>IGS 1</t>
  </si>
  <si>
    <t>our.anhouse</t>
  </si>
  <si>
    <t>mamakboyofficial</t>
  </si>
  <si>
    <t>Deli Serdang,Lubuk Pakam</t>
  </si>
  <si>
    <t>15,5K</t>
  </si>
  <si>
    <t>mamakdanisay74</t>
  </si>
  <si>
    <t>Pekanbaru</t>
  </si>
  <si>
    <t>miftahul.khaeriyah</t>
  </si>
  <si>
    <t>Gowa,Sulawesi Selatan</t>
  </si>
  <si>
    <t>sofwan_amin</t>
  </si>
  <si>
    <t>136K</t>
  </si>
  <si>
    <t>rizkynurfazri</t>
  </si>
  <si>
    <t>102,9K</t>
  </si>
  <si>
    <t>General Brief</t>
  </si>
  <si>
    <t>PIC</t>
  </si>
  <si>
    <t>No PIC</t>
  </si>
  <si>
    <t>wkwkland_real</t>
  </si>
  <si>
    <t>513K</t>
  </si>
  <si>
    <t>admin wkwkland</t>
  </si>
  <si>
    <t>Nasional</t>
  </si>
  <si>
    <t>bestie.genk</t>
  </si>
  <si>
    <t>497K</t>
  </si>
  <si>
    <t>Akun Gossip</t>
  </si>
  <si>
    <t>admin bestiegenk</t>
  </si>
  <si>
    <t>1 IGS</t>
  </si>
  <si>
    <t>2 IGS</t>
  </si>
  <si>
    <t>bestiegenk.closefriend</t>
  </si>
  <si>
    <t>359K</t>
  </si>
  <si>
    <t>lambe_turah</t>
  </si>
  <si>
    <t>12M</t>
  </si>
  <si>
    <t>IG Story Photo</t>
  </si>
  <si>
    <t>lambeturah_official</t>
  </si>
  <si>
    <t>ngakakkocak</t>
  </si>
  <si>
    <t>11M</t>
  </si>
  <si>
    <t>Akun Meme/Lucu</t>
  </si>
  <si>
    <t>ngakaksehat</t>
  </si>
  <si>
    <t>4,5M</t>
  </si>
  <si>
    <t>misterkomedi</t>
  </si>
  <si>
    <t>1M</t>
  </si>
  <si>
    <t>indoviral8</t>
  </si>
  <si>
    <t>629K</t>
  </si>
  <si>
    <t>Akun Meme/Lucu, Viral</t>
  </si>
  <si>
    <t>awreceh.id</t>
  </si>
  <si>
    <t>saragih media</t>
  </si>
  <si>
    <t>kegoblogan.unfaedah</t>
  </si>
  <si>
    <t>2,1M</t>
  </si>
  <si>
    <t>kegobloganunfaedah</t>
  </si>
  <si>
    <t>kegoblogan.unfaedahh_</t>
  </si>
  <si>
    <t>Unikinfold</t>
  </si>
  <si>
    <t>926K</t>
  </si>
  <si>
    <t>admin folks media</t>
  </si>
  <si>
    <t>berdialoq</t>
  </si>
  <si>
    <t>ohmmeygatt</t>
  </si>
  <si>
    <t>abouthetic</t>
  </si>
  <si>
    <t>2,8M</t>
  </si>
  <si>
    <t>4,300,000</t>
  </si>
  <si>
    <t>girlstorychat</t>
  </si>
  <si>
    <t>1,9M</t>
  </si>
  <si>
    <t>colorteutic</t>
  </si>
  <si>
    <t>921K</t>
  </si>
  <si>
    <t>mood.jakarta</t>
  </si>
  <si>
    <t>folkkonoha</t>
  </si>
  <si>
    <t>429K</t>
  </si>
  <si>
    <t>abouthify</t>
  </si>
  <si>
    <t>beritaindonesia_</t>
  </si>
  <si>
    <t>607K</t>
  </si>
  <si>
    <t>photoshop_indonesia</t>
  </si>
  <si>
    <t>328K</t>
  </si>
  <si>
    <t>duniapunyacerita</t>
  </si>
  <si>
    <t>409K</t>
  </si>
  <si>
    <t>jkt.fess</t>
  </si>
  <si>
    <t>Trending News</t>
  </si>
  <si>
    <t>jkt.feed</t>
  </si>
  <si>
    <t>886K</t>
  </si>
  <si>
    <t>jktonfeed</t>
  </si>
  <si>
    <t>262K</t>
  </si>
  <si>
    <t>jkt.genz</t>
  </si>
  <si>
    <t>jakarta.folks</t>
  </si>
  <si>
    <t>jkt.folks</t>
  </si>
  <si>
    <t>sulthanreceh</t>
  </si>
  <si>
    <t>649K</t>
  </si>
  <si>
    <t>maherrr</t>
  </si>
  <si>
    <t>wajibkeras</t>
  </si>
  <si>
    <t>123K</t>
  </si>
  <si>
    <t>Skrinsit</t>
  </si>
  <si>
    <t>tekniksyit</t>
  </si>
  <si>
    <t>awshitpostid</t>
  </si>
  <si>
    <t>lambegosiip</t>
  </si>
  <si>
    <t>gosip_Danu</t>
  </si>
  <si>
    <t>241K</t>
  </si>
  <si>
    <t>martha jack</t>
  </si>
  <si>
    <t>jatinangorbanget</t>
  </si>
  <si>
    <t>111K</t>
  </si>
  <si>
    <t>inimahsumedang</t>
  </si>
  <si>
    <t>242K</t>
  </si>
  <si>
    <t>Feeds/Reels</t>
  </si>
  <si>
    <t>cirebon.banget</t>
  </si>
  <si>
    <t>213K</t>
  </si>
  <si>
    <t>Cirebon</t>
  </si>
  <si>
    <t>bogorpisan</t>
  </si>
  <si>
    <t>345K</t>
  </si>
  <si>
    <t>Visit (reels,tiktok,3 igs)</t>
  </si>
  <si>
    <t>Paid Promote ( 1 posting video dari kita, 4 igs)</t>
  </si>
  <si>
    <t>Special Deal ( 2x reels,2x tiktok mirror, 10 igs , pin post 25 hari)</t>
  </si>
  <si>
    <t>infobandungtimur_</t>
  </si>
  <si>
    <t>195K</t>
  </si>
  <si>
    <t>bandung.banget</t>
  </si>
  <si>
    <t>Threads (60K followers)</t>
  </si>
  <si>
    <t>ahquote</t>
  </si>
  <si>
    <t>ninis</t>
  </si>
  <si>
    <t>27-28Jt</t>
  </si>
  <si>
    <t>jakarta.terkini</t>
  </si>
  <si>
    <t>2,2M</t>
  </si>
  <si>
    <t>jktn media</t>
  </si>
  <si>
    <t>jakartazoone</t>
  </si>
  <si>
    <t>3M</t>
  </si>
  <si>
    <t>bekasi.terkini</t>
  </si>
  <si>
    <t>753K</t>
  </si>
  <si>
    <t>jakartasiana</t>
  </si>
  <si>
    <t>514K</t>
  </si>
  <si>
    <t>jabodetabek.terkini</t>
  </si>
  <si>
    <t>664K</t>
  </si>
  <si>
    <t>Jabodetabek</t>
  </si>
  <si>
    <t>tangerang.terkini</t>
  </si>
  <si>
    <t>248K</t>
  </si>
  <si>
    <t>bogor.terkini</t>
  </si>
  <si>
    <t>289K</t>
  </si>
  <si>
    <t>depokterkini</t>
  </si>
  <si>
    <t>177K</t>
  </si>
  <si>
    <t>bekasi foodis</t>
  </si>
  <si>
    <t>165K</t>
  </si>
  <si>
    <t>jakarta capture</t>
  </si>
  <si>
    <t>131K</t>
  </si>
  <si>
    <t>surabaya.terkini</t>
  </si>
  <si>
    <t>803K</t>
  </si>
  <si>
    <t>bandung point</t>
  </si>
  <si>
    <t>626K</t>
  </si>
  <si>
    <t>jogjatrens</t>
  </si>
  <si>
    <t>482K</t>
  </si>
  <si>
    <t>Jogja</t>
  </si>
  <si>
    <t>infobandungs</t>
  </si>
  <si>
    <t>120K</t>
  </si>
  <si>
    <t>denpasarinfoid</t>
  </si>
  <si>
    <t>59,2K</t>
  </si>
  <si>
    <t>folkhype</t>
  </si>
  <si>
    <t>3,6M</t>
  </si>
  <si>
    <t>indo todays</t>
  </si>
  <si>
    <t>merindink</t>
  </si>
  <si>
    <t>fyifact</t>
  </si>
  <si>
    <t>Facts News</t>
  </si>
  <si>
    <t>unikinfold</t>
  </si>
  <si>
    <t>jevuska</t>
  </si>
  <si>
    <t>681K</t>
  </si>
  <si>
    <t>Mystery,Facts,Fenomena</t>
  </si>
  <si>
    <t>yashowbiz</t>
  </si>
  <si>
    <t>541K</t>
  </si>
  <si>
    <t>Internasional News</t>
  </si>
  <si>
    <t>yafakta</t>
  </si>
  <si>
    <t>385K</t>
  </si>
  <si>
    <t>scaryjournal</t>
  </si>
  <si>
    <t>414K</t>
  </si>
  <si>
    <t>wow.info</t>
  </si>
  <si>
    <t>239K</t>
  </si>
  <si>
    <t>infonetizone</t>
  </si>
  <si>
    <t>192k</t>
  </si>
  <si>
    <t>z.ecosystem</t>
  </si>
  <si>
    <t>99K</t>
  </si>
  <si>
    <t>matakelana</t>
  </si>
  <si>
    <t>57,2K</t>
  </si>
  <si>
    <t>duniapunyacerita_</t>
  </si>
  <si>
    <t>3,4M</t>
  </si>
  <si>
    <t>beritaindonesia____</t>
  </si>
  <si>
    <t>seremnyaa</t>
  </si>
  <si>
    <t>816,7K</t>
  </si>
  <si>
    <t>scaryjournalmedia</t>
  </si>
  <si>
    <t>123,2K</t>
  </si>
  <si>
    <t>fyifact.id</t>
  </si>
  <si>
    <t>45,1K</t>
  </si>
  <si>
    <t>merindinkk</t>
  </si>
  <si>
    <t>19,7K</t>
  </si>
  <si>
    <t>jevuska.com</t>
  </si>
  <si>
    <t>20,6K</t>
  </si>
  <si>
    <t>jkt.spot</t>
  </si>
  <si>
    <t>938K</t>
  </si>
  <si>
    <t>moodcewekk</t>
  </si>
  <si>
    <t>5,6M</t>
  </si>
  <si>
    <t>Girls News</t>
  </si>
  <si>
    <t>farid</t>
  </si>
  <si>
    <t>info_mdo</t>
  </si>
  <si>
    <t>5,4K</t>
  </si>
  <si>
    <t>dm ig</t>
  </si>
  <si>
    <t>Manado</t>
  </si>
  <si>
    <t>post feeds and story</t>
  </si>
  <si>
    <t>rakyat.sulsel</t>
  </si>
  <si>
    <t>55,6K</t>
  </si>
  <si>
    <t>info_kubar</t>
  </si>
  <si>
    <t>154K</t>
  </si>
  <si>
    <t>Kalimantan Timur</t>
  </si>
  <si>
    <t>Feeds 1x</t>
  </si>
  <si>
    <t>Feeds 3x</t>
  </si>
  <si>
    <t>Feeds 5x</t>
  </si>
  <si>
    <t>1,750,000</t>
  </si>
  <si>
    <t>info_banjarmasin</t>
  </si>
  <si>
    <t>445K</t>
  </si>
  <si>
    <t>Kalimantan</t>
  </si>
  <si>
    <t>bushcoo</t>
  </si>
  <si>
    <t>405K</t>
  </si>
  <si>
    <t>wakandatalks</t>
  </si>
  <si>
    <t>IG Reels, Story, Tiktok, Facebook (bonus 5 akun post)</t>
  </si>
  <si>
    <t>fakta.indo</t>
  </si>
  <si>
    <t>1x IG Reels/Carousel/Feeds</t>
  </si>
  <si>
    <t>7,900,000</t>
  </si>
  <si>
    <t>info_kejadian_banjarmasin</t>
  </si>
  <si>
    <t>343K</t>
  </si>
  <si>
    <t>kalbar_info</t>
  </si>
  <si>
    <t>102K</t>
  </si>
  <si>
    <t>Kalimantan Barat</t>
  </si>
  <si>
    <t>makassar_iinfo</t>
  </si>
  <si>
    <t>2,4M</t>
  </si>
  <si>
    <t>info_gading_serpong</t>
  </si>
  <si>
    <t>113K</t>
  </si>
  <si>
    <t>jktgo</t>
  </si>
  <si>
    <t>andika</t>
  </si>
  <si>
    <t>ecommurz</t>
  </si>
  <si>
    <t>423K</t>
  </si>
  <si>
    <t>murz</t>
  </si>
  <si>
    <t>Tweet post</t>
  </si>
  <si>
    <t>IG Story 3x</t>
  </si>
  <si>
    <t>explorebogor</t>
  </si>
  <si>
    <t>267K</t>
  </si>
  <si>
    <t>bogor24update</t>
  </si>
  <si>
    <t>215K</t>
  </si>
  <si>
    <t>220K</t>
  </si>
  <si>
    <t>magelang_raya</t>
  </si>
  <si>
    <t>228K</t>
  </si>
  <si>
    <t>Magelang</t>
  </si>
  <si>
    <t>magelanghits</t>
  </si>
  <si>
    <t>infokabarmagelang</t>
  </si>
  <si>
    <t>119K</t>
  </si>
  <si>
    <t>magelangku_</t>
  </si>
  <si>
    <t>209K</t>
  </si>
  <si>
    <t>sorot.sidoarjo_</t>
  </si>
  <si>
    <t>eventsidoarjo_</t>
  </si>
  <si>
    <t>33,8K</t>
  </si>
  <si>
    <t>dolordarjo</t>
  </si>
  <si>
    <t>97K</t>
  </si>
  <si>
    <t>banggasidoarjo</t>
  </si>
  <si>
    <t>231K</t>
  </si>
  <si>
    <t>lampuung</t>
  </si>
  <si>
    <t>687K</t>
  </si>
  <si>
    <t>lampunginsta</t>
  </si>
  <si>
    <t>Rp3.500.00</t>
  </si>
  <si>
    <t>lampunggehnews</t>
  </si>
  <si>
    <t>276K</t>
  </si>
  <si>
    <t>ilovelampung</t>
  </si>
  <si>
    <t>222K</t>
  </si>
  <si>
    <t>info_bandar_lampung</t>
  </si>
  <si>
    <t>63K</t>
  </si>
  <si>
    <t>zetizenbanten</t>
  </si>
  <si>
    <t>Banten</t>
  </si>
  <si>
    <t>im.banten</t>
  </si>
  <si>
    <t>142K</t>
  </si>
  <si>
    <t>wargabanten</t>
  </si>
  <si>
    <t>tangsel.life</t>
  </si>
  <si>
    <t>586K</t>
  </si>
  <si>
    <t>wargatangsel</t>
  </si>
  <si>
    <t>311K</t>
  </si>
  <si>
    <t>tangsel.info</t>
  </si>
  <si>
    <t>252K</t>
  </si>
  <si>
    <t>infodepok_id</t>
  </si>
  <si>
    <t>888K</t>
  </si>
  <si>
    <t>depok.update</t>
  </si>
  <si>
    <t>depok24jam</t>
  </si>
  <si>
    <t>877K</t>
  </si>
  <si>
    <t>infodepok24</t>
  </si>
  <si>
    <t>178K</t>
  </si>
  <si>
    <t>lensa_berita_jakarta</t>
  </si>
  <si>
    <t>158K</t>
  </si>
  <si>
    <t>jktinfo24jam</t>
  </si>
  <si>
    <t>107K</t>
  </si>
  <si>
    <t>infojkt24</t>
  </si>
  <si>
    <t>454K</t>
  </si>
  <si>
    <t>jktinfo</t>
  </si>
  <si>
    <t>3,9M</t>
  </si>
  <si>
    <t>jktsekarang</t>
  </si>
  <si>
    <t>infojktku</t>
  </si>
  <si>
    <t>268K</t>
  </si>
  <si>
    <t>gresik.media</t>
  </si>
  <si>
    <t>45,4K</t>
  </si>
  <si>
    <t>Gresik</t>
  </si>
  <si>
    <t>wonggresik</t>
  </si>
  <si>
    <t>wisatagresik</t>
  </si>
  <si>
    <t>91,8K</t>
  </si>
  <si>
    <t>gresiksumpek.id</t>
  </si>
  <si>
    <t>64,4K</t>
  </si>
  <si>
    <t>kulinergresik</t>
  </si>
  <si>
    <t>298K</t>
  </si>
  <si>
    <t>wartagresik</t>
  </si>
  <si>
    <t>20,3K</t>
  </si>
  <si>
    <t>inigresik</t>
  </si>
  <si>
    <t>explorebandung</t>
  </si>
  <si>
    <t>982K</t>
  </si>
  <si>
    <t>wisata_bandung</t>
  </si>
  <si>
    <t>168K</t>
  </si>
  <si>
    <t>infobdgcom</t>
  </si>
  <si>
    <t>782K</t>
  </si>
  <si>
    <t>infobandungkota</t>
  </si>
  <si>
    <t>bdgsociety</t>
  </si>
  <si>
    <t>381K</t>
  </si>
  <si>
    <t>infobandung_</t>
  </si>
  <si>
    <t>jelajahbandung</t>
  </si>
  <si>
    <t>342K</t>
  </si>
  <si>
    <t>wisatakabupatenbandung</t>
  </si>
  <si>
    <t>141K</t>
  </si>
  <si>
    <t>bandung24jam</t>
  </si>
  <si>
    <t>bandungevents</t>
  </si>
  <si>
    <t>278K</t>
  </si>
  <si>
    <t>infobandungbarat</t>
  </si>
  <si>
    <t>333K</t>
  </si>
  <si>
    <t>cityofbdg</t>
  </si>
  <si>
    <t>156K</t>
  </si>
  <si>
    <t>infokabupatenbandung</t>
  </si>
  <si>
    <t>192K</t>
  </si>
  <si>
    <t>beritakotabandung</t>
  </si>
  <si>
    <t>356K</t>
  </si>
  <si>
    <t>infojawabarat</t>
  </si>
  <si>
    <t>Jawa Barat</t>
  </si>
  <si>
    <t>exploresemarang</t>
  </si>
  <si>
    <t>544K</t>
  </si>
  <si>
    <t>seputarsemarang</t>
  </si>
  <si>
    <t>432K</t>
  </si>
  <si>
    <t>hangoutsemarang</t>
  </si>
  <si>
    <t>365K</t>
  </si>
  <si>
    <t>semarangexplore</t>
  </si>
  <si>
    <t>sudutsemarang</t>
  </si>
  <si>
    <t>65,2K</t>
  </si>
  <si>
    <t>amazingsemarang</t>
  </si>
  <si>
    <t>36,7K</t>
  </si>
  <si>
    <t>info_malang</t>
  </si>
  <si>
    <t>324K</t>
  </si>
  <si>
    <t>infomalangid</t>
  </si>
  <si>
    <t>malangraya_info</t>
  </si>
  <si>
    <t>688K</t>
  </si>
  <si>
    <t>amazingmalang</t>
  </si>
  <si>
    <t>979K</t>
  </si>
  <si>
    <t>lingkarmalang</t>
  </si>
  <si>
    <t>392K</t>
  </si>
  <si>
    <t>updatemalang</t>
  </si>
  <si>
    <t>11,9K</t>
  </si>
  <si>
    <t>malang_kekinian</t>
  </si>
  <si>
    <t>49,7K</t>
  </si>
  <si>
    <t>palembang.update</t>
  </si>
  <si>
    <t>palembanginfodotcom</t>
  </si>
  <si>
    <t>palembang.berejo</t>
  </si>
  <si>
    <t>86,8K</t>
  </si>
  <si>
    <t>palembang_ini</t>
  </si>
  <si>
    <t>360K</t>
  </si>
  <si>
    <t>info_surabaya</t>
  </si>
  <si>
    <t>562K</t>
  </si>
  <si>
    <t>lovesuroboyo</t>
  </si>
  <si>
    <t>646K</t>
  </si>
  <si>
    <t>aslisuroboyo</t>
  </si>
  <si>
    <t>ini_surabaya</t>
  </si>
  <si>
    <t>528K</t>
  </si>
  <si>
    <t>surabayaview.id</t>
  </si>
  <si>
    <t>199K</t>
  </si>
  <si>
    <t>805K</t>
  </si>
  <si>
    <t>lifeatsuroboyo</t>
  </si>
  <si>
    <t>89,9K</t>
  </si>
  <si>
    <t>infojember</t>
  </si>
  <si>
    <t>366K</t>
  </si>
  <si>
    <t>Jember</t>
  </si>
  <si>
    <t>pesonajember</t>
  </si>
  <si>
    <t>aslijembermat</t>
  </si>
  <si>
    <t>jemberwonderful</t>
  </si>
  <si>
    <t>49,2K</t>
  </si>
  <si>
    <t>explorejember_</t>
  </si>
  <si>
    <t>90,9K</t>
  </si>
  <si>
    <t>kuliner_jember</t>
  </si>
  <si>
    <t>162K</t>
  </si>
  <si>
    <t>solonyaman</t>
  </si>
  <si>
    <t>144K</t>
  </si>
  <si>
    <t>event.solo</t>
  </si>
  <si>
    <t>221K</t>
  </si>
  <si>
    <t>soloinfo</t>
  </si>
  <si>
    <t>542K</t>
  </si>
  <si>
    <t>kliksolo</t>
  </si>
  <si>
    <t>81,7K</t>
  </si>
  <si>
    <t>visit.surakarta</t>
  </si>
  <si>
    <t>Surakarta</t>
  </si>
  <si>
    <t>explore_banyuwangi</t>
  </si>
  <si>
    <t>93,6K</t>
  </si>
  <si>
    <t>Banyuwangi</t>
  </si>
  <si>
    <t>banyuwangi_hitsss</t>
  </si>
  <si>
    <t>bwi_info</t>
  </si>
  <si>
    <t>202K</t>
  </si>
  <si>
    <t>banyuwangi_id</t>
  </si>
  <si>
    <t>isunbanyuwangi</t>
  </si>
  <si>
    <t>184K</t>
  </si>
  <si>
    <t>pesonabwi</t>
  </si>
  <si>
    <t>66,9K</t>
  </si>
  <si>
    <t>bwitoday</t>
  </si>
  <si>
    <t>28,7K</t>
  </si>
  <si>
    <t>pkufolk</t>
  </si>
  <si>
    <t>279K</t>
  </si>
  <si>
    <t>Pekan Baru</t>
  </si>
  <si>
    <t>pkucity</t>
  </si>
  <si>
    <t>483K</t>
  </si>
  <si>
    <t>beritapekanbaru</t>
  </si>
  <si>
    <t>207K</t>
  </si>
  <si>
    <t>pkukini</t>
  </si>
  <si>
    <t>108K</t>
  </si>
  <si>
    <t>viralpekanbaru</t>
  </si>
  <si>
    <t>208K</t>
  </si>
  <si>
    <t>pkuinfo</t>
  </si>
  <si>
    <t>43,2K</t>
  </si>
  <si>
    <t>madiun.hitz</t>
  </si>
  <si>
    <t>179K</t>
  </si>
  <si>
    <t>madhioen.ae</t>
  </si>
  <si>
    <t>235K</t>
  </si>
  <si>
    <t>madiunviral</t>
  </si>
  <si>
    <t>26,3K</t>
  </si>
  <si>
    <t>area.madiun</t>
  </si>
  <si>
    <t>26,6K</t>
  </si>
  <si>
    <t>infodenpasarbali</t>
  </si>
  <si>
    <t>28,3K</t>
  </si>
  <si>
    <t>infobali.terbaru</t>
  </si>
  <si>
    <t>yogyakarta.keras</t>
  </si>
  <si>
    <t>769K</t>
  </si>
  <si>
    <t>jogjaku</t>
  </si>
  <si>
    <t>dolanjogja</t>
  </si>
  <si>
    <t>jogjaistimewa</t>
  </si>
  <si>
    <t>404K</t>
  </si>
  <si>
    <t>jogja_today</t>
  </si>
  <si>
    <t>aboutcirebon.id</t>
  </si>
  <si>
    <t>348K</t>
  </si>
  <si>
    <t>radarcirebon</t>
  </si>
  <si>
    <t>680K</t>
  </si>
  <si>
    <t>explorecirebon</t>
  </si>
  <si>
    <t>26,2K</t>
  </si>
  <si>
    <t>214K</t>
  </si>
  <si>
    <t>cirebonberita</t>
  </si>
  <si>
    <t>82K</t>
  </si>
  <si>
    <t>cirebonrayainfo</t>
  </si>
  <si>
    <t>49,5K</t>
  </si>
  <si>
    <t>cirebonhistory</t>
  </si>
  <si>
    <t>39,8K</t>
  </si>
  <si>
    <t>aboutcirebonfood</t>
  </si>
  <si>
    <t>dialogindocirebon</t>
  </si>
  <si>
    <t>186K</t>
  </si>
  <si>
    <t>kuninganrepost</t>
  </si>
  <si>
    <t>283K</t>
  </si>
  <si>
    <t>Kuningan</t>
  </si>
  <si>
    <t>pesonakuningan</t>
  </si>
  <si>
    <t>305K</t>
  </si>
  <si>
    <t>infokuningan</t>
  </si>
  <si>
    <t>140K</t>
  </si>
  <si>
    <t>infomedan</t>
  </si>
  <si>
    <t>infomedia_medan</t>
  </si>
  <si>
    <t>Rp</t>
  </si>
  <si>
    <t>medantalk</t>
  </si>
  <si>
    <t>buletinmedan</t>
  </si>
  <si>
    <t>128K</t>
  </si>
  <si>
    <t>medanviralinfo</t>
  </si>
  <si>
    <t>67,6K</t>
  </si>
  <si>
    <t>makassarinfoku</t>
  </si>
  <si>
    <t>512K</t>
  </si>
  <si>
    <t>makassarfeeds</t>
  </si>
  <si>
    <t>190K</t>
  </si>
  <si>
    <t>makassarterkini.id</t>
  </si>
  <si>
    <t>95,5K</t>
  </si>
  <si>
    <t>makassar_folks</t>
  </si>
  <si>
    <t>88,3K</t>
  </si>
  <si>
    <t>makassarvirals</t>
  </si>
  <si>
    <t>85,4K</t>
  </si>
  <si>
    <t>makassarapakabar</t>
  </si>
  <si>
    <t>36,4K</t>
  </si>
  <si>
    <t>makassarmedsos</t>
  </si>
  <si>
    <t>65,6K</t>
  </si>
  <si>
    <t>makassarvolix</t>
  </si>
  <si>
    <t>59,7K</t>
  </si>
  <si>
    <t>makasar_info</t>
  </si>
  <si>
    <t>819K</t>
  </si>
  <si>
    <t>infosulawesidotcom</t>
  </si>
  <si>
    <t>38,6K</t>
  </si>
  <si>
    <t>sulselberita</t>
  </si>
  <si>
    <t>114K</t>
  </si>
  <si>
    <t>kotabaruinfo</t>
  </si>
  <si>
    <t>76K</t>
  </si>
  <si>
    <t>Kota Baru</t>
  </si>
  <si>
    <t>palopoinfoku</t>
  </si>
  <si>
    <t>48,9K</t>
  </si>
  <si>
    <t>Palopo</t>
  </si>
  <si>
    <t>infobandaaceh</t>
  </si>
  <si>
    <t>17,8K</t>
  </si>
  <si>
    <t>public says</t>
  </si>
  <si>
    <t>entertainment,News</t>
  </si>
  <si>
    <t>1x Interview Content post in Tiktok,IG Reels,Youtube short,Facebook reels</t>
  </si>
  <si>
    <t>October</t>
  </si>
  <si>
    <t>Tanggal</t>
  </si>
  <si>
    <t>Account Username</t>
  </si>
  <si>
    <t>Link</t>
  </si>
  <si>
    <t>Views</t>
  </si>
  <si>
    <t>Reach</t>
  </si>
  <si>
    <t>Likes</t>
  </si>
  <si>
    <t>Comments</t>
  </si>
  <si>
    <t>Saved</t>
  </si>
  <si>
    <t>Shares</t>
  </si>
  <si>
    <t>Profile Visits</t>
  </si>
  <si>
    <t>Replies</t>
  </si>
  <si>
    <t>Website Click</t>
  </si>
  <si>
    <t>Total Eng.</t>
  </si>
  <si>
    <t>ER (%)</t>
  </si>
  <si>
    <t>28/10/2025</t>
  </si>
  <si>
    <t>prythapramesthi</t>
  </si>
  <si>
    <r>
      <rPr>
        <rFont val="Arial"/>
        <color rgb="FF1155CC"/>
        <u/>
      </rPr>
      <t>https://www.instagram.com/p/DQWdPYukxqW/</t>
    </r>
    <r>
      <rPr>
        <rFont val="Arial"/>
      </rPr>
      <t xml:space="preserve"> </t>
    </r>
  </si>
  <si>
    <r>
      <rPr>
        <rFont val="Arial"/>
        <color rgb="FF1155CC"/>
        <sz val="11.0"/>
        <u/>
      </rPr>
      <t>https://www.tiktok.com/@prythaaa/video/7566238382657932551?_r=1&amp;_t=ZS-902wPY3ZwOt</t>
    </r>
    <r>
      <rPr>
        <rFont val="Arial"/>
        <sz val="11.0"/>
      </rPr>
      <t xml:space="preserve"> </t>
    </r>
  </si>
  <si>
    <t>Total ER October</t>
  </si>
  <si>
    <t>November</t>
  </si>
  <si>
    <r>
      <rPr>
        <rFont val="Arial"/>
        <color rgb="FF1155CC"/>
        <sz val="11.0"/>
        <u/>
      </rPr>
      <t>febrinaraamadhani</t>
    </r>
    <r>
      <rPr>
        <rFont val="Arial"/>
        <sz val="11.0"/>
      </rPr>
      <t xml:space="preserve"> </t>
    </r>
  </si>
  <si>
    <t>https://www.instagram.com/reel/DQgXDoBD5W3/</t>
  </si>
  <si>
    <r>
      <rPr>
        <rFont val="Arial"/>
        <color rgb="FF1155CC"/>
        <sz val="11.0"/>
        <u/>
      </rPr>
      <t>novitanggrainie</t>
    </r>
    <r>
      <rPr>
        <rFont val="Arial"/>
        <sz val="11.0"/>
      </rPr>
      <t xml:space="preserve"> </t>
    </r>
  </si>
  <si>
    <r>
      <rPr>
        <rFont val="Arial"/>
        <color rgb="FF1155CC"/>
        <sz val="11.0"/>
        <u/>
      </rPr>
      <t>https://www.instagram.com/reel/DQmAQ-xk37j/?igsh=MWUyYTVkdzQ1eDFhMw==</t>
    </r>
    <r>
      <rPr>
        <rFont val="Arial"/>
        <sz val="11.0"/>
      </rPr>
      <t xml:space="preserve">  </t>
    </r>
  </si>
  <si>
    <r>
      <rPr>
        <rFont val="Arial"/>
        <color rgb="FF1155CC"/>
        <sz val="11.0"/>
        <u/>
      </rPr>
      <t>novitanggrainie</t>
    </r>
    <r>
      <rPr>
        <rFont val="Arial"/>
        <sz val="11.0"/>
      </rPr>
      <t xml:space="preserve"> </t>
    </r>
  </si>
  <si>
    <r>
      <rPr>
        <rFont val="Arial"/>
        <color rgb="FF1155CC"/>
        <sz val="11.0"/>
        <u/>
      </rPr>
      <t>https://vt.tiktok.com/ZSyDQSLFo/</t>
    </r>
    <r>
      <rPr>
        <rFont val="Arial"/>
        <sz val="11.0"/>
      </rPr>
      <t xml:space="preserve"> </t>
    </r>
  </si>
  <si>
    <r>
      <rPr>
        <rFont val="Arial"/>
        <color rgb="FF1155CC"/>
        <sz val="11.0"/>
        <u/>
      </rPr>
      <t>febrinaraamadhani</t>
    </r>
    <r>
      <rPr>
        <rFont val="Arial"/>
        <sz val="11.0"/>
      </rPr>
      <t xml:space="preserve"> </t>
    </r>
  </si>
  <si>
    <t xml:space="preserve">https://www.instagram.com/reel/DQnfOawj5tN/ </t>
  </si>
  <si>
    <t xml:space="preserve">febrinaraamadhani </t>
  </si>
  <si>
    <t>https://www.tiktok.com/@febrinaraamadhani/video/7569243186728537351</t>
  </si>
  <si>
    <t>https://www.tiktok.com/@febrinaraamadhani/video/7570556275973541138</t>
  </si>
  <si>
    <t>15/11/2025</t>
  </si>
  <si>
    <r>
      <rPr>
        <rFont val="Arial"/>
        <color rgb="FF1155CC"/>
        <sz val="11.0"/>
        <u/>
      </rPr>
      <t>andinshifaaa</t>
    </r>
    <r>
      <rPr>
        <rFont val="Arial"/>
        <sz val="11.0"/>
      </rPr>
      <t xml:space="preserve"> </t>
    </r>
  </si>
  <si>
    <r>
      <rPr>
        <rFont val="Arial"/>
        <color rgb="FF1155CC"/>
        <sz val="11.0"/>
        <u/>
      </rPr>
      <t>https://www.instagram.com/reel/DRE3VtRkfaX/?igsh=MXQ1N3NxNnNyM200OQ%3D%3D</t>
    </r>
    <r>
      <rPr>
        <rFont val="Arial"/>
        <sz val="11.0"/>
      </rPr>
      <t xml:space="preserve"> </t>
    </r>
  </si>
  <si>
    <t>16/11/2025</t>
  </si>
  <si>
    <r>
      <rPr>
        <rFont val="Arial"/>
        <color rgb="FF1155CC"/>
        <sz val="11.0"/>
        <u/>
      </rPr>
      <t>andinshifaaa</t>
    </r>
    <r>
      <rPr>
        <rFont val="Arial"/>
        <sz val="11.0"/>
      </rPr>
      <t xml:space="preserve"> </t>
    </r>
  </si>
  <si>
    <t>https://www.tiktok.com/@andsheblooms/video/7573177501309013266?_r=1&amp;_t=ZS-91SmeFr6svl</t>
  </si>
  <si>
    <t>22/11/2025</t>
  </si>
  <si>
    <r>
      <rPr>
        <rFont val="Arial"/>
        <color rgb="FF1155CC"/>
        <sz val="11.0"/>
        <u/>
      </rPr>
      <t>https://www.instagram.com/reel/DRTkgOlDw9x/</t>
    </r>
    <r>
      <rPr>
        <rFont val="Arial"/>
        <sz val="11.0"/>
      </rPr>
      <t xml:space="preserve"> </t>
    </r>
  </si>
  <si>
    <t>23/11/2025</t>
  </si>
  <si>
    <t>badaisamudrar</t>
  </si>
  <si>
    <t>https://www.instagram.com/reel/DRZhQ-9DVuf/?igsh=c3p5bXdmZ2RqMTli</t>
  </si>
  <si>
    <t>https://www.tiktok.com/@badaisamudrar/video/7575896534823324935?_r=1&amp;_t=ZS-91dh1cbkEGF</t>
  </si>
  <si>
    <t>24/11/2025</t>
  </si>
  <si>
    <t>https://www.tiktok.com/@febrinaraamadhani/video/7576116429905251592</t>
  </si>
  <si>
    <t>Total ER November</t>
  </si>
  <si>
    <t>January</t>
  </si>
  <si>
    <t>https://www.instagram.com/p/DTU_Nchk0j2/</t>
  </si>
  <si>
    <t xml:space="preserve">https://www.tiktok.com/@badaisamudrar/video/7593924885374635282 </t>
  </si>
  <si>
    <t>Total ER Jan</t>
  </si>
  <si>
    <t>Placement</t>
  </si>
  <si>
    <t>Date</t>
  </si>
  <si>
    <t>Output Content</t>
  </si>
  <si>
    <t>QTY Post</t>
  </si>
  <si>
    <t>Link Post</t>
  </si>
  <si>
    <t>Engagement</t>
  </si>
  <si>
    <t>Reach/UV</t>
  </si>
  <si>
    <t>Website 
Click/ Clicks</t>
  </si>
  <si>
    <t>ER</t>
  </si>
  <si>
    <t>APRIL</t>
  </si>
  <si>
    <t>Channel: DID</t>
  </si>
  <si>
    <t>Channel: LI</t>
  </si>
  <si>
    <t>Community Collab: Sidina Comunity</t>
  </si>
  <si>
    <t>KOL 1 - @resty.hartika</t>
  </si>
  <si>
    <r>
      <rPr>
        <rFont val="Arial"/>
      </rPr>
      <t xml:space="preserve"> </t>
    </r>
    <r>
      <rPr>
        <rFont val="Arial"/>
        <color rgb="FF1155CC"/>
        <u/>
      </rPr>
      <t>https://www.instagram.com/p/DI1KAFAyC0q/</t>
    </r>
    <r>
      <rPr>
        <rFont val="Arial"/>
      </rPr>
      <t xml:space="preserve">   </t>
    </r>
  </si>
  <si>
    <t>KOL 2 - @alizamaharani</t>
  </si>
  <si>
    <r>
      <rPr>
        <rFont val="Arial"/>
        <color rgb="FF1155CC"/>
        <u/>
      </rPr>
      <t>https://www.instagram.com/p/DJHQYITzjp6/</t>
    </r>
    <r>
      <rPr>
        <rFont val="Arial"/>
      </rPr>
      <t xml:space="preserve">  </t>
    </r>
  </si>
  <si>
    <t>Collab Post 1 @sidina | Hal kecil yang bikin Mompreneur Happy!</t>
  </si>
  <si>
    <t>IG Feed (Carousel)</t>
  </si>
  <si>
    <t>https://www.instagram.com/p/DIyWCOFy_wq/?img_index=1</t>
  </si>
  <si>
    <t>Collab Post 2 @sidina | Tipe-tipe teman yang support pemilik UMKM</t>
  </si>
  <si>
    <t>https://www.instagram.com/p/DI_N_fKyn4z/?img_index=3</t>
  </si>
  <si>
    <t>MAY</t>
  </si>
  <si>
    <t>IGS SISBERDAYA</t>
  </si>
  <si>
    <t>7-25 May</t>
  </si>
  <si>
    <t>Teaser #SISBERDAYA2025 - CTA Open Registration</t>
  </si>
  <si>
    <t>https://www.instagram.com/p/DJTLKnhStV7/</t>
  </si>
  <si>
    <t>KV OPEN REGISTRATION #SISBERDAYA2025</t>
  </si>
  <si>
    <t>IG Feed (Single Post) - Ads</t>
  </si>
  <si>
    <t>https://www.instagram.com/p/DJWZeuXscym/</t>
  </si>
  <si>
    <t>Event Highlight Press Conference #SISBERDAYA2025</t>
  </si>
  <si>
    <t>IG Feed (Carousel Post)</t>
  </si>
  <si>
    <t>https://www.instagram.com/p/DJeHhHkBAcr/?img_index=1</t>
  </si>
  <si>
    <t>#CeritaDANAM8s - DANA's Womenpreneur: Earthy Eats</t>
  </si>
  <si>
    <t>https://www.instagram.com/p/DJwJMxYva7J/?img_index=1</t>
  </si>
  <si>
    <t>#SisBerdaya | IG Reels - Event Highlight Press Conference</t>
  </si>
  <si>
    <t>https://www.instagram.com/p/DJyt4V-SA6Q/</t>
  </si>
  <si>
    <t>#SisBerdaya | Testimoni SISBERDAYA 2024</t>
  </si>
  <si>
    <t>https://www.instagram.com/p/DJ1WJ6IB9iE/?img_index=1</t>
  </si>
  <si>
    <t>#TantanganDaysinDANA | #SISBERDAYA</t>
  </si>
  <si>
    <t>https://www.instagram.com/p/DJ9BDbzvRYk/</t>
  </si>
  <si>
    <t>Collab Post with dana.id: Info #SISBERDAYA</t>
  </si>
  <si>
    <t>https://www.instagram.com/p/DJ_S2sdPgVB/?img_index=1</t>
  </si>
  <si>
    <t>#SisBerdaya Closed Registration</t>
  </si>
  <si>
    <t>https://www.instagram.com/p/DKQxn5VqiTS/?img_index=1</t>
  </si>
  <si>
    <t>Channel: Linkedin</t>
  </si>
  <si>
    <t>Feed post (Ads)</t>
  </si>
  <si>
    <t>https://www.linkedin.com/feed/update/urn:li:activity:7325732628458803200</t>
  </si>
  <si>
    <t>Feed post</t>
  </si>
  <si>
    <t>https://www.linkedin.com/posts/dana-indonesia_sisberdaya-2025-activity-7326923967867277312-L-ll?utm_source=share&amp;utm_medium=member_desktop&amp;rcm=ACoAABkzbf4BbS4hvKS0fGvtG1nVLRCgyurD254</t>
  </si>
  <si>
    <t>https://www.linkedin.com/feed/update/urn:li:activity:7329460687460532224</t>
  </si>
  <si>
    <t>Video Post</t>
  </si>
  <si>
    <t>https://www.linkedin.com/feed/update/urn:li:activity:7329823070011961344</t>
  </si>
  <si>
    <t>LI Article #2 - Actionable Tips for Work-Life Harmony for Moms</t>
  </si>
  <si>
    <t>https://www.linkedin.com/feed/update/urn:li:activity:7330204687842902016</t>
  </si>
  <si>
    <t>https://www.linkedin.com/feed/update/urn:li:activity:7331651767937499136/</t>
  </si>
  <si>
    <t>Close Registration #SISBERDAYA</t>
  </si>
  <si>
    <t>Feed Post</t>
  </si>
  <si>
    <t>https://www.linkedin.com/feed/update/urn:li:activity:7334035845991026689</t>
  </si>
  <si>
    <t>Community Collab: Productive Mamas</t>
  </si>
  <si>
    <t>KOL 1 - Deysamosir</t>
  </si>
  <si>
    <t>https://www.instagram.com/p/DJ1Y5plPnEM/</t>
  </si>
  <si>
    <t>KOL 2 - Rika</t>
  </si>
  <si>
    <t>https://www.instagram.com/reel/DKLl3YAzdLA/?igsh=MXgxd3prcmdpd2x5Mw==</t>
  </si>
  <si>
    <t>Collab Post 1 @productivemamas | Selain Skill, Womenpreneur Wajib Punya Mentor!</t>
  </si>
  <si>
    <t>https://www.instagram.com/p/DJ_l50iywFO/?img_index=1</t>
  </si>
  <si>
    <t>Collab Post 2 @productivemamas | Ibu-Ibu Produktif</t>
  </si>
  <si>
    <t>https://www.instagram.com/p/DKHURHyS01H/?img_index=1</t>
  </si>
  <si>
    <t>JUNE</t>
  </si>
  <si>
    <t>1-30 June</t>
  </si>
  <si>
    <t>Shareable Cerita WomenPreneur #SisBerdaya</t>
  </si>
  <si>
    <t>https://www.instagram.com/p/DKZV1Sttvdc/?img_index=1</t>
  </si>
  <si>
    <t>#TantanganDaysinDANA - #SisBerdaya Edition</t>
  </si>
  <si>
    <t>IG Feed Post</t>
  </si>
  <si>
    <t>https://www.instagram.com/p/DKwg9dfppLA/</t>
  </si>
  <si>
    <t>ANNOUNCEMENT TOP 30 #DISBERDAYA</t>
  </si>
  <si>
    <t>https://www.instagram.com/p/DKzFyfIScW_/?img_index=1</t>
  </si>
  <si>
    <t xml:space="preserve">Announcement Top 180 #SISBERDAYA </t>
  </si>
  <si>
    <t>https://www.instagram.com/p/DK9aC6dB75K/?img_index=1</t>
  </si>
  <si>
    <t>Article Post: Redifining Success for Woman Leaders</t>
  </si>
  <si>
    <t xml:space="preserve">https://www.linkedin.com/feed/update/urn:li:activity:7335258907444973568 </t>
  </si>
  <si>
    <t xml:space="preserve">https://www.linkedin.com/feed/update/urn:li:activity:7338882779348160513 </t>
  </si>
  <si>
    <t xml:space="preserve">https://www.linkedin.com/feed/update/urn:li:activity:7340336052387123201 </t>
  </si>
  <si>
    <t>Article Post: Thriving in Business and at Home</t>
  </si>
  <si>
    <t xml:space="preserve">https://www.linkedin.com/feed/update/urn:li:activity:7342869058372997120 </t>
  </si>
  <si>
    <t>Article Post: How Woman Elevate Everyone</t>
  </si>
  <si>
    <t xml:space="preserve">https://www.linkedin.com/feed/update/urn:li:activity:7345405774308810754 </t>
  </si>
  <si>
    <t>Community Collab: Wajahbundaid</t>
  </si>
  <si>
    <t>https://www.instagram.com/p/DLPah-hS8G4/?img_index=1</t>
  </si>
  <si>
    <t>UGC Post 1</t>
  </si>
  <si>
    <r>
      <rPr>
        <rFont val="Arial"/>
        <color rgb="FF1155CC"/>
        <sz val="11.0"/>
        <u/>
      </rPr>
      <t xml:space="preserve">@sintazanetha, </t>
    </r>
    <r>
      <rPr>
        <rFont val="Arial"/>
        <color rgb="FF1155CC"/>
        <sz val="11.0"/>
        <u/>
      </rPr>
      <t>https://www.instagram.com/reel/DLWHbeAT9OW/</t>
    </r>
    <r>
      <rPr>
        <rFont val="Arial"/>
        <color rgb="FF1155CC"/>
        <sz val="11.0"/>
        <u/>
      </rPr>
      <t xml:space="preserve"> </t>
    </r>
  </si>
  <si>
    <t>UGC Post 2</t>
  </si>
  <si>
    <r>
      <rPr>
        <rFont val="Arial"/>
        <color rgb="FF1155CC"/>
        <sz val="11.0"/>
        <u/>
      </rPr>
      <t xml:space="preserve">@nifanifah, </t>
    </r>
    <r>
      <rPr>
        <rFont val="Arial"/>
        <color rgb="FF1155CC"/>
        <sz val="11.0"/>
        <u/>
      </rPr>
      <t>https://www.instagram.com/p/DLhqB2EyI_D/</t>
    </r>
    <r>
      <rPr>
        <rFont val="Arial"/>
        <color rgb="FF1155CC"/>
        <sz val="11.0"/>
        <u/>
      </rPr>
      <t xml:space="preserve"> </t>
    </r>
  </si>
  <si>
    <t>JULY</t>
  </si>
  <si>
    <t>1-28 July</t>
  </si>
  <si>
    <t>Shareable Content | Womenpreneur</t>
  </si>
  <si>
    <t>https://www.instagram.com/p/DLmlqMYy6Yg/?img_index=1</t>
  </si>
  <si>
    <t xml:space="preserve">Recap Mentoring Online 2025 </t>
  </si>
  <si>
    <t xml:space="preserve">IG Reels </t>
  </si>
  <si>
    <t>https://www.instagram.com/p/DL9w0pwSLQU/</t>
  </si>
  <si>
    <t xml:space="preserve">Announcement DisBerdaya Top 5 </t>
  </si>
  <si>
    <t>https://www.instagram.com/p/DMcqgDmBQxf/?img_index=1</t>
  </si>
  <si>
    <t>Announcement SisBerdaya Top 30</t>
  </si>
  <si>
    <t>https://www.instagram.com/p/DMh0K-hJnHG/?img_index=1</t>
  </si>
  <si>
    <t>https://www.linkedin.com/posts/dana-indonesia_sisberdaya-sisberdaya2025-dana-activity-7350116795388747777-0BZp?utm_source=share&amp;utm_medium=member_desktop&amp;rcm=ACoAABkzbf4BbS4hvKS0fGvtG1nVLRCgyurD254</t>
  </si>
  <si>
    <t>Feed (Carousel Post)</t>
  </si>
  <si>
    <t>https://www.linkedin.com/feed/update/urn:li:activity:7353740693510479873</t>
  </si>
  <si>
    <t>https://www.linkedin.com/feed/update/urn:li:activity:7354465475143061504</t>
  </si>
  <si>
    <t>Community Collab: Smartmums</t>
  </si>
  <si>
    <t xml:space="preserve">Collab with Smartmums | Edu Womenpreneur + Giveaway </t>
  </si>
  <si>
    <t>https://www.instagram.com/p/DMSXKoJS4pE/?img_index=1</t>
  </si>
  <si>
    <r>
      <rPr>
        <rFont val="Calibri"/>
        <color rgb="FF1155CC"/>
        <sz val="11.0"/>
        <u/>
      </rPr>
      <t xml:space="preserve">@difarraa, </t>
    </r>
    <r>
      <rPr>
        <rFont val="Calibri"/>
        <color rgb="FF1155CC"/>
        <sz val="11.0"/>
        <u/>
      </rPr>
      <t>https://www.instagram.com/reel/DMem-MSyKPr/</t>
    </r>
    <r>
      <rPr>
        <rFont val="Calibri"/>
        <color rgb="FF1155CC"/>
        <sz val="11.0"/>
        <u/>
      </rPr>
      <t xml:space="preserve"> </t>
    </r>
  </si>
  <si>
    <r>
      <rPr>
        <rFont val="Calibri"/>
        <color rgb="FF1155CC"/>
        <sz val="11.0"/>
        <u/>
      </rPr>
      <t xml:space="preserve">@listyameliaa, </t>
    </r>
    <r>
      <rPr>
        <rFont val="Calibri"/>
        <color rgb="FF1155CC"/>
        <sz val="11.0"/>
        <u/>
      </rPr>
      <t>https://www.instagram.com/reel/DMhsyNJTCTp/</t>
    </r>
    <r>
      <rPr>
        <rFont val="Calibri"/>
        <color rgb="FF1155CC"/>
        <sz val="11.0"/>
        <u/>
      </rPr>
      <t xml:space="preserve"> </t>
    </r>
  </si>
  <si>
    <t>AUG</t>
  </si>
  <si>
    <t>Winner #SisBerdaya &amp; #DisBerdaya 2025</t>
  </si>
  <si>
    <t>IG Feed</t>
  </si>
  <si>
    <t>https://www.instagram.com/p/DNF3Lk1uAjQ/?img_index=1</t>
  </si>
  <si>
    <t>IG Reels - Recap of SisBerdaya</t>
  </si>
  <si>
    <t>https://www.instagram.com/p/DNQKPmryHJE/</t>
  </si>
  <si>
    <t>Feed Post (Carousel Post)</t>
  </si>
  <si>
    <t>https://www.linkedin.com/feed/update/urn:li:activity:7359538913121611776</t>
  </si>
  <si>
    <t>https://www.linkedin.com/feed/update/urn:li:activity:7360988465745813505</t>
  </si>
  <si>
    <t>Channel: Media (Phase 1)</t>
  </si>
  <si>
    <t>Info Jabar News</t>
  </si>
  <si>
    <t>7 Mei 2025</t>
  </si>
  <si>
    <t>https://www.instagram.com/p/DJWGu5ITbnS/</t>
  </si>
  <si>
    <t>14 Mei 2025</t>
  </si>
  <si>
    <r>
      <rPr>
        <rFont val="Arial"/>
        <color rgb="FF1155CC"/>
        <u/>
      </rPr>
      <t>https://www.instagram.com/stories/infojabarnews/3632356106058068723?igsh=MXhya24zeTB5MmsxYg==
https://drive.google.com/file/d/1bsfAZqP7GdUuUfCUK6UMNu9UWY1T4XL7/view?usp=drive_link</t>
    </r>
    <r>
      <rPr>
        <rFont val="Arial"/>
        <color rgb="FF000000"/>
        <u/>
      </rPr>
      <t xml:space="preserve"> </t>
    </r>
  </si>
  <si>
    <t>Kabar Jogja Terkini</t>
  </si>
  <si>
    <t>https://www.instagram.com/p/DJWFy4exrk1/?img_index=2</t>
  </si>
  <si>
    <r>
      <rPr>
        <rFont val="Arial"/>
        <color rgb="FF1155CC"/>
        <u/>
      </rPr>
      <t>https://www.instagram.com/stories/kabarjogjaterkini/
https://drive.google.com/file/d/1ZmjEUwgzEfxD5DQ5szINoOrxxsPMSPBZ/view?usp=drive_link</t>
    </r>
    <r>
      <rPr>
        <rFont val="Arial"/>
        <color rgb="FF000000"/>
        <u/>
      </rPr>
      <t xml:space="preserve"> </t>
    </r>
  </si>
  <si>
    <t>Info Surabaya</t>
  </si>
  <si>
    <t>https://www.instagram.com/p/DJWVtibhxNq/</t>
  </si>
  <si>
    <r>
      <rPr>
        <rFont val="Arial"/>
        <color rgb="FF1155CC"/>
        <u/>
      </rPr>
      <t>https://www.instagram.com/stories/info_surabaya/3632103097322822938/
https://drive.google.com/file/d/1zX_WqUyhY3f-B6LxvlHHj8Hf8FzlULnm/view?usp=drive_link</t>
    </r>
    <r>
      <rPr>
        <rFont val="Arial"/>
        <color rgb="FF000000"/>
        <u/>
      </rPr>
      <t xml:space="preserve"> </t>
    </r>
  </si>
  <si>
    <t>Bali News</t>
  </si>
  <si>
    <t>https://www.instagram.com/p/DJWKE32PyGz/</t>
  </si>
  <si>
    <r>
      <rPr>
        <rFont val="Arial"/>
        <color rgb="FF1155CC"/>
        <u/>
      </rPr>
      <t>https://www.instagram.com/stories/balinewsid/3632106426530089751/
https://drive.google.com/file/d/1IvDWTZdLdF6v7FhWkOa1XuCmY7iyeOoZ/view?usp=drive_link</t>
    </r>
    <r>
      <rPr>
        <rFont val="Arial"/>
        <color rgb="FF000000"/>
        <u/>
      </rPr>
      <t xml:space="preserve"> </t>
    </r>
  </si>
  <si>
    <t>NTT Update</t>
  </si>
  <si>
    <t>https://www.instagram.com/p/DJWENFHPOfe/</t>
  </si>
  <si>
    <r>
      <rPr>
        <rFont val="Arial"/>
        <color rgb="FF1155CC"/>
        <u/>
      </rPr>
      <t>https://www.instagram.com/stories/ntt.update/3632064870657981791/
https://drive.google.com/file/d/1rCIWUEHT-1ewahA0PYfRD-7_s3g8VfmF/view?usp=drive_link</t>
    </r>
    <r>
      <rPr>
        <rFont val="Arial"/>
        <color rgb="FF000000"/>
        <u/>
      </rPr>
      <t xml:space="preserve"> </t>
    </r>
  </si>
  <si>
    <t>Kabar Samarinda Official</t>
  </si>
  <si>
    <t>https://www.instagram.com/p/DJWOFsuR7VR/</t>
  </si>
  <si>
    <r>
      <rPr>
        <rFont val="Arial"/>
        <color rgb="FF1155CC"/>
        <u/>
      </rPr>
      <t>https://www.instagram.com/stories/kabarsamarinda_official/
https://drive.google.com/file/d/1lPTAAUbPkDNmzzmmLYCfR9CMSKcvcj_S/view?usp=drive_link</t>
    </r>
    <r>
      <rPr>
        <rFont val="Arial"/>
        <color rgb="FF000000"/>
        <u/>
      </rPr>
      <t xml:space="preserve"> </t>
    </r>
  </si>
  <si>
    <t>UMKM Indonesia</t>
  </si>
  <si>
    <t>https://www.instagram.com/p/DJWfd8QTPrg/</t>
  </si>
  <si>
    <r>
      <rPr>
        <rFont val="Arial"/>
        <color rgb="FF1155CC"/>
        <u/>
      </rPr>
      <t>https://www.instagram.com/stories/umkm.indonesia_/
https://drive.google.com/file/d/1nyHQkv_C-g-3iSL8mJ-EZvzWcuWvOkAa/view?usp=drive_link</t>
    </r>
    <r>
      <rPr>
        <rFont val="Arial"/>
        <color rgb="FF000000"/>
        <u/>
      </rPr>
      <t xml:space="preserve"> </t>
    </r>
  </si>
  <si>
    <t>Palembang info terkini</t>
  </si>
  <si>
    <t>10 Mei 2025</t>
  </si>
  <si>
    <t>https://www.instagram.com/p/DJdUqmpSjUT/</t>
  </si>
  <si>
    <r>
      <rPr>
        <rFont val="Arial"/>
        <color rgb="FF1155CC"/>
        <u/>
      </rPr>
      <t>https://www.instagram.com/stories/palembangterkini.official/3632444355757439632/ 
https://drive.google.com/file/d/1qNYu2Ygy1zBYhmAIEBpIwNi4fgrFmjbU/view?usp=drive_link</t>
    </r>
    <r>
      <rPr>
        <rFont val="Arial"/>
        <color rgb="FF000000"/>
        <u/>
      </rPr>
      <t xml:space="preserve"> </t>
    </r>
  </si>
  <si>
    <t>Geti Media</t>
  </si>
  <si>
    <t>https://www.instagram.com/p/DJdV7S3p06z/?img_index=1</t>
  </si>
  <si>
    <t>Jakarta Info</t>
  </si>
  <si>
    <t>IG Reels (no Ads)</t>
  </si>
  <si>
    <t>https://www.instagram.com/p/DJ6bRy1zH9d/</t>
  </si>
  <si>
    <t>Media (Phase 2)</t>
  </si>
  <si>
    <t>14 Juli 2025</t>
  </si>
  <si>
    <t>https://www.instagram.com/p/DME3RmgvEGS/</t>
  </si>
  <si>
    <t>15 Juli 2025</t>
  </si>
  <si>
    <t>https://www.instagram.com/reel/DMHvZm9SwVN/?igsh=b2pqdGE5emU3dTNx</t>
  </si>
  <si>
    <t>https://www.instagram.com/reel/DMIMULzTloE/?igsh=MWU5c20yMjAzbTRubw==</t>
  </si>
  <si>
    <t>19 Juli 2025</t>
  </si>
  <si>
    <t>https://www.instagram.com/reel/DMRclPmzYsK/?igsh=MWMyM3k0MzZnYTBmMQ%3D%3D</t>
  </si>
  <si>
    <t>Media (Phase 3)</t>
  </si>
  <si>
    <t>Jktinfo</t>
  </si>
  <si>
    <t>https://www.instagram.com/p/DNmx6qtzA1V/?img_index=1</t>
  </si>
  <si>
    <t>InfoJabar</t>
  </si>
  <si>
    <t>https://www.instagram.com/reel/DNUpf12TQRR/?igsh=MTB2aWV5d2poMTk5Mg==</t>
  </si>
  <si>
    <t>KabarJogja</t>
  </si>
  <si>
    <t>https://www.instagram.com/reel/DNZsDXXTQ2J/?igsh=MWk4N2Rub3hkMGVuZQ==</t>
  </si>
  <si>
    <t>BaliNews</t>
  </si>
  <si>
    <t>https://www.instagram.com/reel/DNVeQ39P--N/?igsh=MWNkaGIxdHhsN2R3dg==</t>
  </si>
  <si>
    <t>NTTUpdate</t>
  </si>
  <si>
    <t>https://www.instagram.com/reel/DNZR4SAyAfr/?igsh=MXFzbWYwNWRla3Zw</t>
  </si>
  <si>
    <t>Channel: Community (Phase 1)</t>
  </si>
  <si>
    <t>Moms Indonesia</t>
  </si>
  <si>
    <r>
      <rPr>
        <rFont val="Arial"/>
        <color rgb="FF1155CC"/>
        <u/>
      </rPr>
      <t>https://www.instagram.com/stories/momsindonesia/
https://drive.google.com/file/d/120AHvOZBRzDZqdiMVfkQKlvPGgIWMvf_/view?usp=drive_link</t>
    </r>
    <r>
      <rPr>
        <rFont val="Arial"/>
        <color rgb="FF000000"/>
        <u/>
      </rPr>
      <t xml:space="preserve"> </t>
    </r>
  </si>
  <si>
    <t>Ibu Hebat</t>
  </si>
  <si>
    <t>https://www.instagram.com/p/DJV5abuSdKr/</t>
  </si>
  <si>
    <t>IG Story (bonus)</t>
  </si>
  <si>
    <r>
      <rPr>
        <rFont val="Arial"/>
        <color rgb="FF1155CC"/>
        <u/>
      </rPr>
      <t xml:space="preserve">https://www.instagram.com/stories/ibuhebat_/3627004733464189177/
</t>
    </r>
    <r>
      <rPr>
        <rFont val="Arial"/>
        <color rgb="FF1155CC"/>
        <u/>
      </rPr>
      <t>https://drive.google.com/file/d/1_m_4y8_L78BC5yuZi42YKLx6daS4cF_M/view?usp=drive_link</t>
    </r>
  </si>
  <si>
    <r>
      <rPr>
        <rFont val="Arial"/>
        <color rgb="FF1155CC"/>
        <u/>
      </rPr>
      <t>https://www.instagram.com/stories/ibuhebat_/
https://drive.google.com/file/d/16Fs_sQT-ahT2ryeZ2VgmR-XQ_j8DspDa/view?usp=drive_link</t>
    </r>
    <r>
      <rPr>
        <rFont val="Arial"/>
        <color rgb="FF000000"/>
      </rPr>
      <t xml:space="preserve"> </t>
    </r>
  </si>
  <si>
    <t>She and Club</t>
  </si>
  <si>
    <t>https://www.instagram.com/p/DJWNNLPy0Dg/?img_index=1</t>
  </si>
  <si>
    <t>Motherhope Indonesia</t>
  </si>
  <si>
    <t>https://www.instagram.com/p/DJWXqrLSL7G/</t>
  </si>
  <si>
    <r>
      <rPr>
        <rFont val="Arial"/>
        <color rgb="FF1155CC"/>
        <u/>
      </rPr>
      <t>https://www.instagram.com/stories/motherhopeind/3632208991121821707/</t>
    </r>
    <r>
      <rPr>
        <rFont val="Arial"/>
      </rPr>
      <t xml:space="preserve"> 
</t>
    </r>
    <r>
      <rPr>
        <rFont val="Arial"/>
        <color rgb="FF1155CC"/>
        <u/>
      </rPr>
      <t>https://drive.google.com/file/d/1oZbyQFpY7AjzhL6k8YrrkoxYFNkNwjbj/view?usp=drive_link</t>
    </r>
    <r>
      <rPr>
        <rFont val="Arial"/>
      </rPr>
      <t xml:space="preserve"> </t>
    </r>
  </si>
  <si>
    <t>Smartmums</t>
  </si>
  <si>
    <t>https://www.instagram.com/p/DJWLdiCPm7K/</t>
  </si>
  <si>
    <t>Woman Choice</t>
  </si>
  <si>
    <t>8 Mei 2025</t>
  </si>
  <si>
    <t>https://www.instagram.com/p/DJX8-R0Sok0/?img_index=2</t>
  </si>
  <si>
    <r>
      <rPr>
        <rFont val="Arial"/>
        <color rgb="FF1155CC"/>
        <u/>
      </rPr>
      <t>https://www.instagram.com/stories/womanchoice__/
https://drive.google.com/file/d/15zvdbfQTRbKc-dfTDMZZbFzVSYEPB7SO/view?usp=drive_link</t>
    </r>
    <r>
      <rPr>
        <rFont val="Arial"/>
        <color rgb="FF000000"/>
      </rPr>
      <t xml:space="preserve"> </t>
    </r>
  </si>
  <si>
    <t>Ibu2Canggih</t>
  </si>
  <si>
    <t xml:space="preserve">IG Feed </t>
  </si>
  <si>
    <t>https://www.instagram.com/p/DJWNjWnx4Kj/?igsh=MWdjZXlkZnE1M3NmeQ==</t>
  </si>
  <si>
    <t>https://vt.tiktok.com/ZShkmHsVE/</t>
  </si>
  <si>
    <t>Community (Phase 2)</t>
  </si>
  <si>
    <t>16 Juli 2025</t>
  </si>
  <si>
    <t>https://www.instagram.com/reel/DMVLrS5Si0f/?igsh=dzY1aXE4aHg0cjEx</t>
  </si>
  <si>
    <t>Community (Phase 3)</t>
  </si>
  <si>
    <t>Womanchoice</t>
  </si>
  <si>
    <t>https://www.instagram.com/p/DNktgEuSz7U/</t>
  </si>
  <si>
    <t>Ibuhebat</t>
  </si>
  <si>
    <t>https://www.instagram.com/reel/DNZw-IGSE13/?igsh=MXR5YzE3aTJzazM2Zw==</t>
  </si>
  <si>
    <t>https://www.instagram.com/reel/DNZhqVtvRXA/?igsh=MTQwZjJhcTZpZG1ueQ==</t>
  </si>
  <si>
    <t>Channel: Community (PRESS CONFERENCE) - DONE</t>
  </si>
  <si>
    <t>Wajah Bunda Indonesia</t>
  </si>
  <si>
    <t>https://www.instagram.com/stories/wajahbundaid/</t>
  </si>
  <si>
    <t>https://www.instagram.com/stories/womanchoice__/3627617232785821194/</t>
  </si>
  <si>
    <t>Mama Support Mama</t>
  </si>
  <si>
    <t>https://www.instagram.com/stories/mamasupportmama/</t>
  </si>
  <si>
    <t>https://www.instagram.com/stories/ibuhebat_/</t>
  </si>
  <si>
    <t>Birthclub Indonesia</t>
  </si>
  <si>
    <t>https://www.instagram.com/stories/birthclubindonesia/3627081218149696205/</t>
  </si>
  <si>
    <t>Channel: KOL (DONE PHASE 1)</t>
  </si>
  <si>
    <t>Monique Hardjoko</t>
  </si>
  <si>
    <t>24 Mei 2024</t>
  </si>
  <si>
    <t>https://www.instagram.com/p/DKCekCUSNqR/</t>
  </si>
  <si>
    <t>Yora Anastasha</t>
  </si>
  <si>
    <t>https://www.instagram.com/p/DJ4IbEezK76/</t>
  </si>
  <si>
    <t>IGS 2</t>
  </si>
  <si>
    <t>IGS 3</t>
  </si>
  <si>
    <t>Istafiana Candarini</t>
  </si>
  <si>
    <t>23 Mei 2025</t>
  </si>
  <si>
    <t>IG Reels (Ads)</t>
  </si>
  <si>
    <t>https://www.instagram.com/reel/DJ-u1HHTYgs/?igsh=ZHZ2bG15dm1wcmhh</t>
  </si>
  <si>
    <t>dwiiskandar_dwico</t>
  </si>
  <si>
    <t>https://www.instagram.com/p/DJ_fBviSv4r/</t>
  </si>
  <si>
    <t>nilamsari_sahadewa</t>
  </si>
  <si>
    <t>22 Mei 2025</t>
  </si>
  <si>
    <t>https://www.instagram.com/reel/DJ8v2bwBhag</t>
  </si>
  <si>
    <t>akbarmoujahid</t>
  </si>
  <si>
    <r>
      <rPr>
        <rFont val="Arial"/>
        <color rgb="FF1155CC"/>
        <u/>
      </rPr>
      <t>https://www.instagram.com/p/DJ7upVzTR5w/</t>
    </r>
    <r>
      <rPr>
        <rFont val="Arial"/>
      </rPr>
      <t xml:space="preserve"> </t>
    </r>
  </si>
  <si>
    <t>echalaksmi</t>
  </si>
  <si>
    <t>https://www.instagram.com/p/DJ_Dz8sz5Fc/</t>
  </si>
  <si>
    <t>PAID ADS</t>
  </si>
  <si>
    <t>KV Ads - IG Reels Registration</t>
  </si>
  <si>
    <t xml:space="preserve">IG Feed (Single Post) 
Ads 7-29 May 2025 </t>
  </si>
  <si>
    <t>KV Ads - IGS Registration</t>
  </si>
  <si>
    <t xml:space="preserve">IG Story 
Ads 7-29 May 2025 </t>
  </si>
  <si>
    <t>KV Ads - IG Reels Registration (Dark Post)</t>
  </si>
  <si>
    <t xml:space="preserve">IG Reels (Single Post) 
Ads 7-15 May 2025 </t>
  </si>
  <si>
    <t>KV Ads - Image (Dark Post)</t>
  </si>
  <si>
    <t xml:space="preserve">Image
Ads 7-15 May 2025 </t>
  </si>
  <si>
    <t xml:space="preserve">IG Reels (Single Post) 
Ads 15-29 May 2025 </t>
  </si>
  <si>
    <t xml:space="preserve">Image
Ads 15-29 May 2025 </t>
  </si>
  <si>
    <t>New KV Ads (Video SisMargo) - IGS DID</t>
  </si>
  <si>
    <t>21 Mei</t>
  </si>
  <si>
    <t>IGS Video SisMargo
Ads 21-29 Mei</t>
  </si>
  <si>
    <t>IGS Reels
Ads 21-29 Mei</t>
  </si>
  <si>
    <t>Meta Business Area 1</t>
  </si>
  <si>
    <t>Video SisMargo
Ads 21-29 Mei</t>
  </si>
  <si>
    <t>Meta Business Area 2 &amp; 3</t>
  </si>
  <si>
    <t>New Visual Clickbait
Ads 21-29 Mei</t>
  </si>
  <si>
    <t>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</si>
</sst>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9">
    <numFmt numFmtId="164" formatCode="&quot;Rp&quot;#,##0"/>
    <numFmt numFmtId="165" formatCode="_(* #,##0_);_(* \(#,##0\);_(* &quot;-&quot;??_);_(@_)"/>
    <numFmt numFmtId="166" formatCode="_(* #,##0.00_);_(* \(#,##0.00\);_(* &quot;-&quot;??_);_(@_)"/>
    <numFmt numFmtId="167" formatCode="m/d/yyyy"/>
    <numFmt numFmtId="168" formatCode="M/d/yyyy"/>
    <numFmt numFmtId="169" formatCode="d mmm"/>
    <numFmt numFmtId="170" formatCode="d mmmm yyyy"/>
    <numFmt numFmtId="171" formatCode="d mmm yyyy"/>
    <numFmt numFmtId="172" formatCode="d mmmm"/>
  </numFmts>
  <fonts count="40">
    <font>
      <sz val="10.0"/>
      <color rgb="FF000000"/>
      <name val="Arial"/>
      <scheme val="minor"/>
    </font>
    <font>
      <b/>
      <sz val="11.0"/>
      <color rgb="FF000000"/>
      <name val="&quot;Aptos Narrow&quot;"/>
    </font>
    <font>
      <b/>
      <sz val="12.0"/>
      <color rgb="FF000000"/>
      <name val="&quot;Aptos Narrow&quot;"/>
    </font>
    <font/>
    <font>
      <sz val="11.0"/>
      <color rgb="FF000000"/>
      <name val="&quot;Aptos Narrow&quot;"/>
    </font>
    <font>
      <sz val="12.0"/>
      <color rgb="FF000000"/>
      <name val="&quot;Aptos Narrow&quot;"/>
    </font>
    <font>
      <u/>
      <sz val="11.0"/>
      <color rgb="FF0000FF"/>
      <name val="&quot;Aptos Narrow&quot;"/>
    </font>
    <font>
      <sz val="12.0"/>
      <color rgb="FF3C4043"/>
      <name val="&quot;Aptos Narrow&quot;"/>
    </font>
    <font>
      <u/>
      <sz val="12.0"/>
      <color rgb="FF3C4043"/>
      <name val="&quot;Aptos Narrow&quot;"/>
    </font>
    <font>
      <sz val="11.0"/>
      <color rgb="FF3C4043"/>
      <name val="&quot;Aptos Narrow&quot;"/>
    </font>
    <font>
      <sz val="11.0"/>
      <color rgb="FF000000"/>
      <name val="Calibri"/>
    </font>
    <font>
      <u/>
      <sz val="11.0"/>
      <color rgb="FF000000"/>
      <name val="&quot;Aptos Narrow&quot;"/>
    </font>
    <font>
      <u/>
      <sz val="11.0"/>
      <color rgb="FF000000"/>
      <name val="&quot;Aptos Narrow&quot;"/>
    </font>
    <font>
      <b/>
      <sz val="11.0"/>
      <color theme="1"/>
      <name val="Calibri"/>
    </font>
    <font>
      <color theme="1"/>
      <name val="Arial"/>
    </font>
    <font>
      <sz val="11.0"/>
      <color theme="1"/>
      <name val="Calibri"/>
    </font>
    <font>
      <u/>
      <color rgb="FF1155CC"/>
      <name val="Arial"/>
    </font>
    <font>
      <u/>
      <color rgb="FF0000FF"/>
      <name val="Arial"/>
    </font>
    <font>
      <u/>
      <color rgb="FF1155CC"/>
      <name val="Arial"/>
    </font>
    <font>
      <u/>
      <sz val="11.0"/>
      <color rgb="FF0000FF"/>
      <name val="Arial"/>
    </font>
    <font>
      <u/>
      <sz val="11.0"/>
      <color rgb="FF0000FF"/>
      <name val="Arial"/>
    </font>
    <font>
      <u/>
      <sz val="11.0"/>
      <color rgb="FF1155CC"/>
      <name val="Arial"/>
    </font>
    <font>
      <u/>
      <sz val="11.0"/>
      <color rgb="FF0000FF"/>
      <name val="Arial"/>
    </font>
    <font>
      <u/>
      <sz val="11.0"/>
      <color rgb="FF1155CC"/>
      <name val="Arial"/>
    </font>
    <font>
      <u/>
      <sz val="11.0"/>
      <color rgb="FF1155CC"/>
      <name val="Arial"/>
    </font>
    <font>
      <u/>
      <sz val="11.0"/>
      <color rgb="FF1155CC"/>
      <name val="Arial"/>
    </font>
    <font>
      <sz val="11.0"/>
      <color rgb="FF161823"/>
      <name val="TikTokDisplayFont"/>
    </font>
    <font>
      <b/>
      <color theme="1"/>
      <name val="Arial"/>
    </font>
    <font>
      <u/>
      <color rgb="FF0000FF"/>
      <name val="Arial"/>
    </font>
    <font>
      <u/>
      <color rgb="FF1155CC"/>
      <name val="Arial"/>
    </font>
    <font>
      <color theme="1"/>
      <name val="Calibri"/>
    </font>
    <font>
      <u/>
      <color rgb="FF1155CC"/>
      <name val="Arial"/>
    </font>
    <font>
      <color rgb="FFFF00FF"/>
      <name val="Arial"/>
    </font>
    <font>
      <u/>
      <sz val="11.0"/>
      <color rgb="FF1155CC"/>
      <name val="Arial"/>
    </font>
    <font>
      <sz val="11.0"/>
      <color theme="1"/>
      <name val="Arial"/>
    </font>
    <font>
      <u/>
      <sz val="11.0"/>
      <color rgb="FF1155CC"/>
      <name val="Arial"/>
    </font>
    <font>
      <u/>
      <color rgb="FF1155CC"/>
      <name val="Calibri"/>
    </font>
    <font>
      <u/>
      <sz val="11.0"/>
      <color rgb="FF1155CC"/>
      <name val="Calibri"/>
    </font>
    <font>
      <u/>
      <color rgb="FF1155CC"/>
      <name val="Arial"/>
    </font>
    <font>
      <u/>
      <color rgb="FF1155CC"/>
      <name val="Arial"/>
    </font>
  </fonts>
  <fills count="11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FF2CC"/>
        <bgColor rgb="FFFFF2CC"/>
      </patternFill>
    </fill>
    <fill>
      <patternFill patternType="solid">
        <fgColor rgb="FFEAD1DC"/>
        <bgColor rgb="FFEAD1DC"/>
      </patternFill>
    </fill>
    <fill>
      <patternFill patternType="solid">
        <fgColor rgb="FFFFFFFF"/>
        <bgColor rgb="FFFFFFFF"/>
      </patternFill>
    </fill>
    <fill>
      <patternFill patternType="solid">
        <fgColor rgb="FFC9DAF8"/>
        <bgColor rgb="FFC9DAF8"/>
      </patternFill>
    </fill>
    <fill>
      <patternFill patternType="solid">
        <fgColor rgb="FFB6D7A8"/>
        <bgColor rgb="FFB6D7A8"/>
      </patternFill>
    </fill>
    <fill>
      <patternFill patternType="solid">
        <fgColor rgb="FF00FFFF"/>
        <bgColor rgb="FF00FFFF"/>
      </patternFill>
    </fill>
    <fill>
      <patternFill patternType="solid">
        <fgColor rgb="FFFFE599"/>
        <bgColor rgb="FFFFE599"/>
      </patternFill>
    </fill>
    <fill>
      <patternFill patternType="solid">
        <fgColor rgb="FFFBBC04"/>
        <bgColor rgb="FFFBBC04"/>
      </patternFill>
    </fill>
  </fills>
  <borders count="37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</border>
    <border>
      <left style="thin">
        <color rgb="FF000000"/>
      </left>
      <bottom style="thin">
        <color rgb="FF000000"/>
      </bottom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right style="thin">
        <color rgb="FF000000"/>
      </right>
      <bottom style="thin">
        <color rgb="FF000000"/>
      </bottom>
    </border>
    <border>
      <left style="thin">
        <color rgb="FF505050"/>
      </left>
      <right style="thin">
        <color rgb="FF505050"/>
      </right>
      <top style="thin">
        <color rgb="FF505050"/>
      </top>
    </border>
    <border>
      <left style="thin">
        <color rgb="FF505050"/>
      </left>
      <top style="thin">
        <color rgb="FF000000"/>
      </top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</border>
    <border>
      <left style="thin">
        <color rgb="FF505050"/>
      </left>
      <right style="thin">
        <color rgb="FF505050"/>
      </right>
    </border>
    <border>
      <left style="thin">
        <color rgb="FF505050"/>
      </left>
    </border>
    <border>
      <left style="thin">
        <color rgb="FF505050"/>
      </left>
      <top style="thin">
        <color rgb="FF505050"/>
      </top>
    </border>
    <border>
      <top style="thin">
        <color rgb="FF505050"/>
      </top>
    </border>
    <border>
      <right style="thin">
        <color rgb="FF505050"/>
      </right>
      <top style="thin">
        <color rgb="FF505050"/>
      </top>
      <bottom style="thin">
        <color rgb="FF505050"/>
      </bottom>
    </border>
    <border>
      <right style="thin">
        <color rgb="FF505050"/>
      </right>
      <top style="thin">
        <color rgb="FF505050"/>
      </top>
    </border>
    <border>
      <left style="thin">
        <color rgb="FF505050"/>
      </left>
      <bottom style="thin">
        <color rgb="FF505050"/>
      </bottom>
    </border>
    <border>
      <left style="thin">
        <color rgb="FF505050"/>
      </left>
      <right style="thin">
        <color rgb="FF505050"/>
      </right>
      <bottom style="thin">
        <color rgb="FF50505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</border>
    <border>
      <bottom style="thin">
        <color rgb="FF000000"/>
      </bottom>
    </border>
    <border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3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vertical="bottom"/>
    </xf>
    <xf borderId="1" fillId="0" fontId="2" numFmtId="0" xfId="0" applyAlignment="1" applyBorder="1" applyFont="1">
      <alignment horizontal="center" readingOrder="0" vertical="bottom"/>
    </xf>
    <xf borderId="2" fillId="0" fontId="1" numFmtId="0" xfId="0" applyAlignment="1" applyBorder="1" applyFont="1">
      <alignment horizontal="center" readingOrder="0" vertical="bottom"/>
    </xf>
    <xf borderId="3" fillId="0" fontId="3" numFmtId="0" xfId="0" applyBorder="1" applyFont="1"/>
    <xf borderId="4" fillId="0" fontId="4" numFmtId="0" xfId="0" applyAlignment="1" applyBorder="1" applyFont="1">
      <alignment horizontal="center" readingOrder="0" vertical="bottom"/>
    </xf>
    <xf borderId="4" fillId="0" fontId="5" numFmtId="0" xfId="0" applyAlignment="1" applyBorder="1" applyFont="1">
      <alignment horizontal="center" readingOrder="0" vertical="bottom"/>
    </xf>
    <xf borderId="1" fillId="0" fontId="4" numFmtId="0" xfId="0" applyAlignment="1" applyBorder="1" applyFont="1">
      <alignment readingOrder="0" vertical="bottom"/>
    </xf>
    <xf borderId="1" fillId="0" fontId="4" numFmtId="0" xfId="0" applyAlignment="1" applyBorder="1" applyFont="1">
      <alignment horizontal="right" readingOrder="0" vertical="bottom"/>
    </xf>
    <xf borderId="5" fillId="0" fontId="3" numFmtId="0" xfId="0" applyBorder="1" applyFont="1"/>
    <xf borderId="6" fillId="0" fontId="3" numFmtId="0" xfId="0" applyBorder="1" applyFont="1"/>
    <xf borderId="4" fillId="0" fontId="4" numFmtId="0" xfId="0" applyAlignment="1" applyBorder="1" applyFont="1">
      <alignment horizontal="center" vertical="bottom"/>
    </xf>
    <xf borderId="1" fillId="0" fontId="4" numFmtId="0" xfId="0" applyAlignment="1" applyBorder="1" applyFont="1">
      <alignment vertical="bottom"/>
    </xf>
    <xf borderId="4" fillId="0" fontId="4" numFmtId="11" xfId="0" applyAlignment="1" applyBorder="1" applyFont="1" applyNumberFormat="1">
      <alignment horizontal="center" readingOrder="0" vertical="bottom"/>
    </xf>
    <xf borderId="4" fillId="0" fontId="4" numFmtId="3" xfId="0" applyAlignment="1" applyBorder="1" applyFont="1" applyNumberFormat="1">
      <alignment horizontal="center" readingOrder="0" vertical="bottom"/>
    </xf>
    <xf borderId="5" fillId="0" fontId="4" numFmtId="0" xfId="0" applyAlignment="1" applyBorder="1" applyFont="1">
      <alignment horizontal="right" readingOrder="0" vertical="bottom"/>
    </xf>
    <xf borderId="0" fillId="0" fontId="4" numFmtId="0" xfId="0" applyAlignment="1" applyFont="1">
      <alignment readingOrder="0" vertical="bottom"/>
    </xf>
    <xf borderId="4" fillId="0" fontId="4" numFmtId="0" xfId="0" applyAlignment="1" applyBorder="1" applyFont="1">
      <alignment horizontal="right" readingOrder="0" vertical="bottom"/>
    </xf>
    <xf borderId="7" fillId="0" fontId="4" numFmtId="0" xfId="0" applyAlignment="1" applyBorder="1" applyFont="1">
      <alignment horizontal="center" readingOrder="0" vertical="bottom"/>
    </xf>
    <xf borderId="8" fillId="0" fontId="3" numFmtId="0" xfId="0" applyBorder="1" applyFont="1"/>
    <xf borderId="9" fillId="0" fontId="3" numFmtId="0" xfId="0" applyBorder="1" applyFont="1"/>
    <xf borderId="4" fillId="0" fontId="6" numFmtId="0" xfId="0" applyAlignment="1" applyBorder="1" applyFont="1">
      <alignment horizontal="center" readingOrder="0" vertical="bottom"/>
    </xf>
    <xf borderId="0" fillId="0" fontId="4" numFmtId="0" xfId="0" applyAlignment="1" applyFont="1">
      <alignment readingOrder="0" vertical="bottom"/>
    </xf>
    <xf borderId="4" fillId="0" fontId="4" numFmtId="0" xfId="0" applyAlignment="1" applyBorder="1" applyFont="1">
      <alignment horizontal="center" readingOrder="0" vertical="bottom"/>
    </xf>
    <xf borderId="4" fillId="0" fontId="7" numFmtId="0" xfId="0" applyAlignment="1" applyBorder="1" applyFont="1">
      <alignment horizontal="center" readingOrder="0" vertical="bottom"/>
    </xf>
    <xf borderId="4" fillId="0" fontId="8" numFmtId="0" xfId="0" applyAlignment="1" applyBorder="1" applyFont="1">
      <alignment horizontal="center" readingOrder="0" vertical="bottom"/>
    </xf>
    <xf borderId="4" fillId="0" fontId="9" numFmtId="0" xfId="0" applyAlignment="1" applyBorder="1" applyFont="1">
      <alignment horizontal="center" vertical="bottom"/>
    </xf>
    <xf borderId="4" fillId="0" fontId="7" numFmtId="0" xfId="0" applyAlignment="1" applyBorder="1" applyFont="1">
      <alignment horizontal="center" vertical="bottom"/>
    </xf>
    <xf borderId="10" fillId="0" fontId="3" numFmtId="0" xfId="0" applyBorder="1" applyFont="1"/>
    <xf borderId="7" fillId="0" fontId="7" numFmtId="0" xfId="0" applyAlignment="1" applyBorder="1" applyFont="1">
      <alignment horizontal="center" readingOrder="0" vertical="bottom"/>
    </xf>
    <xf borderId="11" fillId="0" fontId="4" numFmtId="0" xfId="0" applyAlignment="1" applyBorder="1" applyFont="1">
      <alignment horizontal="center" readingOrder="0" vertical="bottom"/>
    </xf>
    <xf borderId="12" fillId="0" fontId="3" numFmtId="0" xfId="0" applyBorder="1" applyFont="1"/>
    <xf borderId="13" fillId="0" fontId="3" numFmtId="0" xfId="0" applyBorder="1" applyFont="1"/>
    <xf borderId="5" fillId="0" fontId="4" numFmtId="0" xfId="0" applyAlignment="1" applyBorder="1" applyFont="1">
      <alignment horizontal="center" readingOrder="0" vertical="bottom"/>
    </xf>
    <xf borderId="4" fillId="0" fontId="4" numFmtId="0" xfId="0" applyAlignment="1" applyBorder="1" applyFont="1">
      <alignment readingOrder="0" vertical="bottom"/>
    </xf>
    <xf borderId="14" fillId="0" fontId="10" numFmtId="0" xfId="0" applyAlignment="1" applyBorder="1" applyFont="1">
      <alignment readingOrder="0" shrinkToFit="0" vertical="bottom" wrapText="0"/>
    </xf>
    <xf borderId="14" fillId="0" fontId="10" numFmtId="0" xfId="0" applyAlignment="1" applyBorder="1" applyFont="1">
      <alignment horizontal="center" readingOrder="0" shrinkToFit="0" vertical="bottom" wrapText="0"/>
    </xf>
    <xf borderId="15" fillId="0" fontId="10" numFmtId="0" xfId="0" applyAlignment="1" applyBorder="1" applyFont="1">
      <alignment horizontal="center" readingOrder="0" shrinkToFit="0" vertical="bottom" wrapText="0"/>
    </xf>
    <xf borderId="16" fillId="0" fontId="10" numFmtId="0" xfId="0" applyAlignment="1" applyBorder="1" applyFont="1">
      <alignment readingOrder="0" shrinkToFit="0" vertical="bottom" wrapText="0"/>
    </xf>
    <xf borderId="16" fillId="0" fontId="10" numFmtId="0" xfId="0" applyAlignment="1" applyBorder="1" applyFont="1">
      <alignment horizontal="right" readingOrder="0" shrinkToFit="0" vertical="bottom" wrapText="0"/>
    </xf>
    <xf borderId="17" fillId="0" fontId="3" numFmtId="0" xfId="0" applyBorder="1" applyFont="1"/>
    <xf borderId="18" fillId="0" fontId="3" numFmtId="0" xfId="0" applyBorder="1" applyFont="1"/>
    <xf borderId="14" fillId="0" fontId="10" numFmtId="0" xfId="0" applyAlignment="1" applyBorder="1" applyFont="1">
      <alignment horizontal="center" shrinkToFit="0" vertical="bottom" wrapText="0"/>
    </xf>
    <xf borderId="19" fillId="0" fontId="10" numFmtId="0" xfId="0" applyAlignment="1" applyBorder="1" applyFont="1">
      <alignment horizontal="center" readingOrder="0" shrinkToFit="0" vertical="bottom" wrapText="0"/>
    </xf>
    <xf borderId="20" fillId="0" fontId="3" numFmtId="0" xfId="0" applyBorder="1" applyFont="1"/>
    <xf borderId="14" fillId="0" fontId="10" numFmtId="0" xfId="0" applyAlignment="1" applyBorder="1" applyFont="1">
      <alignment horizontal="right" readingOrder="0" shrinkToFit="0" vertical="bottom" wrapText="0"/>
    </xf>
    <xf borderId="7" fillId="0" fontId="10" numFmtId="0" xfId="0" applyAlignment="1" applyBorder="1" applyFont="1">
      <alignment horizontal="center" readingOrder="0" shrinkToFit="0" vertical="bottom" wrapText="0"/>
    </xf>
    <xf borderId="11" fillId="0" fontId="3" numFmtId="0" xfId="0" applyBorder="1" applyFont="1"/>
    <xf borderId="21" fillId="0" fontId="10" numFmtId="0" xfId="0" applyAlignment="1" applyBorder="1" applyFont="1">
      <alignment readingOrder="0" shrinkToFit="0" vertical="bottom" wrapText="0"/>
    </xf>
    <xf borderId="22" fillId="0" fontId="10" numFmtId="0" xfId="0" applyAlignment="1" applyBorder="1" applyFont="1">
      <alignment readingOrder="0" shrinkToFit="0" vertical="bottom" wrapText="0"/>
    </xf>
    <xf borderId="8" fillId="0" fontId="10" numFmtId="0" xfId="0" applyAlignment="1" applyBorder="1" applyFont="1">
      <alignment horizontal="center" readingOrder="0" shrinkToFit="0" vertical="bottom" wrapText="0"/>
    </xf>
    <xf borderId="11" fillId="0" fontId="4" numFmtId="0" xfId="0" applyAlignment="1" applyBorder="1" applyFont="1">
      <alignment horizontal="center" vertical="bottom"/>
    </xf>
    <xf borderId="3" fillId="0" fontId="1" numFmtId="0" xfId="0" applyAlignment="1" applyBorder="1" applyFont="1">
      <alignment horizontal="center" readingOrder="0" vertical="bottom"/>
    </xf>
    <xf borderId="11" fillId="0" fontId="11" numFmtId="0" xfId="0" applyAlignment="1" applyBorder="1" applyFont="1">
      <alignment horizontal="center" readingOrder="0" vertical="bottom"/>
    </xf>
    <xf borderId="1" fillId="0" fontId="4" numFmtId="164" xfId="0" applyAlignment="1" applyBorder="1" applyFont="1" applyNumberFormat="1">
      <alignment readingOrder="0" vertical="bottom"/>
    </xf>
    <xf borderId="11" fillId="2" fontId="4" numFmtId="0" xfId="0" applyAlignment="1" applyBorder="1" applyFill="1" applyFont="1">
      <alignment horizontal="center" readingOrder="0" vertical="bottom"/>
    </xf>
    <xf borderId="4" fillId="2" fontId="4" numFmtId="0" xfId="0" applyAlignment="1" applyBorder="1" applyFont="1">
      <alignment horizontal="center" readingOrder="0" vertical="bottom"/>
    </xf>
    <xf borderId="4" fillId="0" fontId="4" numFmtId="164" xfId="0" applyAlignment="1" applyBorder="1" applyFont="1" applyNumberFormat="1">
      <alignment readingOrder="0" vertical="bottom"/>
    </xf>
    <xf borderId="19" fillId="2" fontId="4" numFmtId="0" xfId="0" applyAlignment="1" applyBorder="1" applyFont="1">
      <alignment horizontal="center" readingOrder="0" shrinkToFit="0" vertical="bottom" wrapText="0"/>
    </xf>
    <xf borderId="19" fillId="0" fontId="4" numFmtId="0" xfId="0" applyAlignment="1" applyBorder="1" applyFont="1">
      <alignment horizontal="center" readingOrder="0" shrinkToFit="0" vertical="bottom" wrapText="0"/>
    </xf>
    <xf borderId="19" fillId="0" fontId="4" numFmtId="0" xfId="0" applyAlignment="1" applyBorder="1" applyFont="1">
      <alignment horizontal="center" shrinkToFit="0" vertical="bottom" wrapText="0"/>
    </xf>
    <xf borderId="14" fillId="0" fontId="4" numFmtId="0" xfId="0" applyAlignment="1" applyBorder="1" applyFont="1">
      <alignment horizontal="center" readingOrder="0" shrinkToFit="0" vertical="bottom" wrapText="0"/>
    </xf>
    <xf borderId="16" fillId="0" fontId="4" numFmtId="0" xfId="0" applyAlignment="1" applyBorder="1" applyFont="1">
      <alignment readingOrder="0" shrinkToFit="0" vertical="bottom" wrapText="0"/>
    </xf>
    <xf borderId="16" fillId="0" fontId="4" numFmtId="164" xfId="0" applyAlignment="1" applyBorder="1" applyFont="1" applyNumberFormat="1">
      <alignment readingOrder="0" shrinkToFit="0" vertical="bottom" wrapText="0"/>
    </xf>
    <xf borderId="14" fillId="0" fontId="4" numFmtId="0" xfId="0" applyAlignment="1" applyBorder="1" applyFont="1">
      <alignment readingOrder="0" shrinkToFit="0" vertical="bottom" wrapText="0"/>
    </xf>
    <xf borderId="14" fillId="0" fontId="4" numFmtId="164" xfId="0" applyAlignment="1" applyBorder="1" applyFont="1" applyNumberFormat="1">
      <alignment readingOrder="0" shrinkToFit="0" vertical="bottom" wrapText="0"/>
    </xf>
    <xf borderId="21" fillId="0" fontId="4" numFmtId="0" xfId="0" applyAlignment="1" applyBorder="1" applyFont="1">
      <alignment readingOrder="0" shrinkToFit="0" vertical="bottom" wrapText="0"/>
    </xf>
    <xf borderId="23" fillId="0" fontId="3" numFmtId="0" xfId="0" applyBorder="1" applyFont="1"/>
    <xf borderId="24" fillId="0" fontId="3" numFmtId="0" xfId="0" applyBorder="1" applyFont="1"/>
    <xf borderId="22" fillId="0" fontId="4" numFmtId="0" xfId="0" applyAlignment="1" applyBorder="1" applyFont="1">
      <alignment readingOrder="0" shrinkToFit="0" vertical="bottom" wrapText="0"/>
    </xf>
    <xf borderId="18" fillId="0" fontId="4" numFmtId="0" xfId="0" applyAlignment="1" applyBorder="1" applyFont="1">
      <alignment horizontal="center" readingOrder="0" shrinkToFit="0" vertical="bottom" wrapText="0"/>
    </xf>
    <xf borderId="18" fillId="0" fontId="12" numFmtId="0" xfId="0" applyAlignment="1" applyBorder="1" applyFont="1">
      <alignment horizontal="center" readingOrder="0" shrinkToFit="0" vertical="bottom" wrapText="0"/>
    </xf>
    <xf borderId="17" fillId="0" fontId="4" numFmtId="0" xfId="0" applyAlignment="1" applyBorder="1" applyFont="1">
      <alignment horizontal="center" readingOrder="0" shrinkToFit="0" vertical="bottom" wrapText="0"/>
    </xf>
    <xf borderId="25" fillId="3" fontId="13" numFmtId="0" xfId="0" applyAlignment="1" applyBorder="1" applyFill="1" applyFont="1">
      <alignment horizontal="center" vertical="bottom"/>
    </xf>
    <xf borderId="0" fillId="0" fontId="14" numFmtId="0" xfId="0" applyAlignment="1" applyFont="1">
      <alignment vertical="bottom"/>
    </xf>
    <xf borderId="26" fillId="0" fontId="13" numFmtId="0" xfId="0" applyAlignment="1" applyBorder="1" applyFont="1">
      <alignment horizontal="center" vertical="bottom"/>
    </xf>
    <xf borderId="27" fillId="0" fontId="13" numFmtId="0" xfId="0" applyAlignment="1" applyBorder="1" applyFont="1">
      <alignment horizontal="center" vertical="bottom"/>
    </xf>
    <xf borderId="28" fillId="0" fontId="13" numFmtId="0" xfId="0" applyAlignment="1" applyBorder="1" applyFont="1">
      <alignment horizontal="center" shrinkToFit="0" vertical="bottom" wrapText="1"/>
    </xf>
    <xf borderId="28" fillId="0" fontId="13" numFmtId="0" xfId="0" applyAlignment="1" applyBorder="1" applyFont="1">
      <alignment horizontal="center" vertical="bottom"/>
    </xf>
    <xf borderId="29" fillId="0" fontId="13" numFmtId="0" xfId="0" applyAlignment="1" applyBorder="1" applyFont="1">
      <alignment horizontal="center" vertical="bottom"/>
    </xf>
    <xf borderId="30" fillId="0" fontId="15" numFmtId="0" xfId="0" applyAlignment="1" applyBorder="1" applyFont="1">
      <alignment horizontal="center" vertical="bottom"/>
    </xf>
    <xf borderId="6" fillId="0" fontId="16" numFmtId="0" xfId="0" applyAlignment="1" applyBorder="1" applyFont="1">
      <alignment vertical="bottom"/>
    </xf>
    <xf borderId="0" fillId="0" fontId="17" numFmtId="0" xfId="0" applyAlignment="1" applyFont="1">
      <alignment vertical="bottom"/>
    </xf>
    <xf borderId="1" fillId="0" fontId="15" numFmtId="165" xfId="0" applyAlignment="1" applyBorder="1" applyFont="1" applyNumberFormat="1">
      <alignment horizontal="right" vertical="bottom"/>
    </xf>
    <xf borderId="1" fillId="0" fontId="15" numFmtId="0" xfId="0" applyAlignment="1" applyBorder="1" applyFont="1">
      <alignment horizontal="right" vertical="bottom"/>
    </xf>
    <xf borderId="6" fillId="0" fontId="15" numFmtId="0" xfId="0" applyAlignment="1" applyBorder="1" applyFont="1">
      <alignment vertical="bottom"/>
    </xf>
    <xf borderId="31" fillId="0" fontId="15" numFmtId="166" xfId="0" applyAlignment="1" applyBorder="1" applyFont="1" applyNumberFormat="1">
      <alignment horizontal="right" vertical="bottom"/>
    </xf>
    <xf borderId="1" fillId="0" fontId="18" numFmtId="0" xfId="0" applyAlignment="1" applyBorder="1" applyFont="1">
      <alignment vertical="bottom"/>
    </xf>
    <xf borderId="1" fillId="0" fontId="19" numFmtId="0" xfId="0" applyAlignment="1" applyBorder="1" applyFont="1">
      <alignment shrinkToFit="0" vertical="top" wrapText="1"/>
    </xf>
    <xf borderId="1" fillId="0" fontId="15" numFmtId="165" xfId="0" applyAlignment="1" applyBorder="1" applyFont="1" applyNumberFormat="1">
      <alignment horizontal="right" vertical="top"/>
    </xf>
    <xf borderId="1" fillId="0" fontId="15" numFmtId="0" xfId="0" applyAlignment="1" applyBorder="1" applyFont="1">
      <alignment horizontal="right" vertical="top"/>
    </xf>
    <xf borderId="6" fillId="0" fontId="15" numFmtId="0" xfId="0" applyAlignment="1" applyBorder="1" applyFont="1">
      <alignment vertical="top"/>
    </xf>
    <xf borderId="31" fillId="0" fontId="15" numFmtId="166" xfId="0" applyAlignment="1" applyBorder="1" applyFont="1" applyNumberFormat="1">
      <alignment horizontal="center" vertical="bottom"/>
    </xf>
    <xf borderId="32" fillId="4" fontId="13" numFmtId="0" xfId="0" applyAlignment="1" applyBorder="1" applyFill="1" applyFont="1">
      <alignment horizontal="center" vertical="bottom"/>
    </xf>
    <xf borderId="33" fillId="0" fontId="3" numFmtId="0" xfId="0" applyBorder="1" applyFont="1"/>
    <xf borderId="27" fillId="0" fontId="3" numFmtId="0" xfId="0" applyBorder="1" applyFont="1"/>
    <xf borderId="28" fillId="4" fontId="13" numFmtId="165" xfId="0" applyAlignment="1" applyBorder="1" applyFont="1" applyNumberFormat="1">
      <alignment horizontal="right" vertical="bottom"/>
    </xf>
    <xf borderId="29" fillId="4" fontId="13" numFmtId="166" xfId="0" applyAlignment="1" applyBorder="1" applyFont="1" applyNumberFormat="1">
      <alignment horizontal="right" vertical="bottom"/>
    </xf>
    <xf borderId="30" fillId="0" fontId="15" numFmtId="167" xfId="0" applyAlignment="1" applyBorder="1" applyFont="1" applyNumberFormat="1">
      <alignment horizontal="center" vertical="bottom"/>
    </xf>
    <xf borderId="13" fillId="0" fontId="20" numFmtId="0" xfId="0" applyAlignment="1" applyBorder="1" applyFont="1">
      <alignment vertical="bottom"/>
    </xf>
    <xf borderId="1" fillId="0" fontId="21" numFmtId="0" xfId="0" applyAlignment="1" applyBorder="1" applyFont="1">
      <alignment shrinkToFit="0" vertical="bottom" wrapText="1"/>
    </xf>
    <xf borderId="1" fillId="0" fontId="22" numFmtId="0" xfId="0" applyAlignment="1" applyBorder="1" applyFont="1">
      <alignment shrinkToFit="0" vertical="bottom" wrapText="1"/>
    </xf>
    <xf borderId="1" fillId="0" fontId="15" numFmtId="165" xfId="0" applyAlignment="1" applyBorder="1" applyFont="1" applyNumberFormat="1">
      <alignment vertical="bottom"/>
    </xf>
    <xf borderId="1" fillId="0" fontId="23" numFmtId="0" xfId="0" applyAlignment="1" applyBorder="1" applyFont="1">
      <alignment shrinkToFit="0" vertical="top" wrapText="1"/>
    </xf>
    <xf borderId="13" fillId="0" fontId="24" numFmtId="0" xfId="0" applyAlignment="1" applyBorder="1" applyFont="1">
      <alignment vertical="bottom"/>
    </xf>
    <xf borderId="1" fillId="0" fontId="15" numFmtId="165" xfId="0" applyAlignment="1" applyBorder="1" applyFont="1" applyNumberFormat="1">
      <alignment vertical="top"/>
    </xf>
    <xf borderId="1" fillId="0" fontId="15" numFmtId="0" xfId="0" applyAlignment="1" applyBorder="1" applyFont="1">
      <alignment vertical="top"/>
    </xf>
    <xf borderId="4" fillId="0" fontId="15" numFmtId="165" xfId="0" applyAlignment="1" applyBorder="1" applyFont="1" applyNumberFormat="1">
      <alignment horizontal="right" vertical="bottom"/>
    </xf>
    <xf borderId="34" fillId="0" fontId="15" numFmtId="166" xfId="0" applyAlignment="1" applyBorder="1" applyFont="1" applyNumberFormat="1">
      <alignment horizontal="center" vertical="bottom"/>
    </xf>
    <xf borderId="34" fillId="0" fontId="15" numFmtId="166" xfId="0" applyAlignment="1" applyBorder="1" applyFont="1" applyNumberFormat="1">
      <alignment horizontal="right" vertical="bottom"/>
    </xf>
    <xf borderId="30" fillId="0" fontId="15" numFmtId="168" xfId="0" applyAlignment="1" applyBorder="1" applyFont="1" applyNumberFormat="1">
      <alignment horizontal="center" vertical="bottom"/>
    </xf>
    <xf borderId="35" fillId="0" fontId="25" numFmtId="0" xfId="0" applyAlignment="1" applyBorder="1" applyFont="1">
      <alignment vertical="bottom"/>
    </xf>
    <xf borderId="0" fillId="5" fontId="26" numFmtId="0" xfId="0" applyAlignment="1" applyFill="1" applyFont="1">
      <alignment shrinkToFit="0" vertical="bottom" wrapText="0"/>
    </xf>
    <xf borderId="28" fillId="4" fontId="14" numFmtId="0" xfId="0" applyAlignment="1" applyBorder="1" applyFont="1">
      <alignment vertical="bottom"/>
    </xf>
    <xf borderId="4" fillId="6" fontId="27" numFmtId="0" xfId="0" applyAlignment="1" applyBorder="1" applyFill="1" applyFont="1">
      <alignment horizontal="center" shrinkToFit="0" wrapText="1"/>
    </xf>
    <xf borderId="4" fillId="6" fontId="27" numFmtId="0" xfId="0" applyBorder="1" applyFont="1"/>
    <xf borderId="4" fillId="6" fontId="27" numFmtId="0" xfId="0" applyAlignment="1" applyBorder="1" applyFont="1">
      <alignment horizontal="center"/>
    </xf>
    <xf borderId="2" fillId="6" fontId="27" numFmtId="0" xfId="0" applyAlignment="1" applyBorder="1" applyFont="1">
      <alignment horizontal="center"/>
    </xf>
    <xf borderId="36" fillId="0" fontId="3" numFmtId="0" xfId="0" applyBorder="1" applyFont="1"/>
    <xf borderId="1" fillId="6" fontId="27" numFmtId="0" xfId="0" applyAlignment="1" applyBorder="1" applyFont="1">
      <alignment horizontal="center"/>
    </xf>
    <xf borderId="1" fillId="6" fontId="13" numFmtId="0" xfId="0" applyAlignment="1" applyBorder="1" applyFont="1">
      <alignment horizontal="center"/>
    </xf>
    <xf borderId="8" fillId="7" fontId="27" numFmtId="0" xfId="0" applyAlignment="1" applyBorder="1" applyFill="1" applyFont="1">
      <alignment shrinkToFit="0" vertical="top" wrapText="1"/>
    </xf>
    <xf borderId="0" fillId="7" fontId="14" numFmtId="169" xfId="0" applyAlignment="1" applyFont="1" applyNumberFormat="1">
      <alignment vertical="top"/>
    </xf>
    <xf borderId="0" fillId="7" fontId="14" numFmtId="0" xfId="0" applyAlignment="1" applyFont="1">
      <alignment vertical="top"/>
    </xf>
    <xf borderId="0" fillId="7" fontId="14" numFmtId="3" xfId="0" applyAlignment="1" applyFont="1" applyNumberFormat="1">
      <alignment vertical="top"/>
    </xf>
    <xf borderId="12" fillId="7" fontId="14" numFmtId="166" xfId="0" applyAlignment="1" applyBorder="1" applyFont="1" applyNumberFormat="1">
      <alignment vertical="top"/>
    </xf>
    <xf borderId="8" fillId="4" fontId="27" numFmtId="0" xfId="0" applyAlignment="1" applyBorder="1" applyFont="1">
      <alignment shrinkToFit="0" vertical="top" wrapText="1"/>
    </xf>
    <xf borderId="0" fillId="4" fontId="14" numFmtId="169" xfId="0" applyAlignment="1" applyFont="1" applyNumberFormat="1">
      <alignment vertical="top"/>
    </xf>
    <xf borderId="0" fillId="4" fontId="14" numFmtId="0" xfId="0" applyAlignment="1" applyFont="1">
      <alignment vertical="top"/>
    </xf>
    <xf borderId="0" fillId="4" fontId="14" numFmtId="3" xfId="0" applyAlignment="1" applyFont="1" applyNumberFormat="1">
      <alignment vertical="top"/>
    </xf>
    <xf borderId="12" fillId="4" fontId="14" numFmtId="166" xfId="0" applyAlignment="1" applyBorder="1" applyFont="1" applyNumberFormat="1">
      <alignment vertical="top"/>
    </xf>
    <xf borderId="8" fillId="0" fontId="14" numFmtId="0" xfId="0" applyAlignment="1" applyBorder="1" applyFont="1">
      <alignment vertical="top"/>
    </xf>
    <xf borderId="0" fillId="0" fontId="14" numFmtId="169" xfId="0" applyAlignment="1" applyFont="1" applyNumberFormat="1">
      <alignment vertical="top"/>
    </xf>
    <xf borderId="0" fillId="0" fontId="14" numFmtId="0" xfId="0" applyAlignment="1" applyFont="1">
      <alignment vertical="top"/>
    </xf>
    <xf borderId="0" fillId="0" fontId="14" numFmtId="3" xfId="0" applyAlignment="1" applyFont="1" applyNumberFormat="1">
      <alignment vertical="top"/>
    </xf>
    <xf borderId="0" fillId="0" fontId="14" numFmtId="3" xfId="0" applyAlignment="1" applyFont="1" applyNumberFormat="1">
      <alignment horizontal="right" vertical="top"/>
    </xf>
    <xf borderId="12" fillId="0" fontId="15" numFmtId="166" xfId="0" applyAlignment="1" applyBorder="1" applyFont="1" applyNumberFormat="1">
      <alignment horizontal="right" vertical="top"/>
    </xf>
    <xf borderId="12" fillId="0" fontId="14" numFmtId="166" xfId="0" applyAlignment="1" applyBorder="1" applyFont="1" applyNumberFormat="1">
      <alignment vertical="top"/>
    </xf>
    <xf borderId="0" fillId="0" fontId="14" numFmtId="0" xfId="0" applyAlignment="1" applyFont="1">
      <alignment shrinkToFit="0" vertical="top" wrapText="1"/>
    </xf>
    <xf borderId="0" fillId="0" fontId="14" numFmtId="0" xfId="0" applyAlignment="1" applyFont="1">
      <alignment horizontal="center" vertical="top"/>
    </xf>
    <xf borderId="0" fillId="0" fontId="28" numFmtId="0" xfId="0" applyAlignment="1" applyFont="1">
      <alignment shrinkToFit="0" vertical="top" wrapText="1"/>
    </xf>
    <xf borderId="0" fillId="0" fontId="14" numFmtId="165" xfId="0" applyAlignment="1" applyFont="1" applyNumberFormat="1">
      <alignment horizontal="right" vertical="bottom"/>
    </xf>
    <xf borderId="0" fillId="0" fontId="14" numFmtId="3" xfId="0" applyAlignment="1" applyFont="1" applyNumberFormat="1">
      <alignment horizontal="right" vertical="bottom"/>
    </xf>
    <xf borderId="0" fillId="0" fontId="14" numFmtId="3" xfId="0" applyAlignment="1" applyFont="1" applyNumberFormat="1">
      <alignment vertical="bottom"/>
    </xf>
    <xf borderId="12" fillId="0" fontId="14" numFmtId="166" xfId="0" applyAlignment="1" applyBorder="1" applyFont="1" applyNumberFormat="1">
      <alignment horizontal="right" vertical="bottom"/>
    </xf>
    <xf borderId="8" fillId="0" fontId="14" numFmtId="0" xfId="0" applyAlignment="1" applyBorder="1" applyFont="1">
      <alignment shrinkToFit="0" vertical="top" wrapText="1"/>
    </xf>
    <xf borderId="0" fillId="0" fontId="29" numFmtId="0" xfId="0" applyAlignment="1" applyFont="1">
      <alignment shrinkToFit="0" vertical="top" wrapText="1"/>
    </xf>
    <xf borderId="0" fillId="0" fontId="30" numFmtId="165" xfId="0" applyAlignment="1" applyFont="1" applyNumberFormat="1">
      <alignment horizontal="right" vertical="top"/>
    </xf>
    <xf borderId="0" fillId="0" fontId="30" numFmtId="3" xfId="0" applyAlignment="1" applyFont="1" applyNumberFormat="1">
      <alignment horizontal="right" vertical="top"/>
    </xf>
    <xf borderId="0" fillId="0" fontId="30" numFmtId="3" xfId="0" applyAlignment="1" applyFont="1" applyNumberFormat="1">
      <alignment horizontal="right" vertical="bottom"/>
    </xf>
    <xf borderId="0" fillId="0" fontId="30" numFmtId="165" xfId="0" applyAlignment="1" applyFont="1" applyNumberFormat="1">
      <alignment horizontal="right" vertical="bottom"/>
    </xf>
    <xf borderId="12" fillId="0" fontId="30" numFmtId="166" xfId="0" applyAlignment="1" applyBorder="1" applyFont="1" applyNumberFormat="1">
      <alignment horizontal="right" vertical="bottom"/>
    </xf>
    <xf borderId="12" fillId="7" fontId="14" numFmtId="4" xfId="0" applyAlignment="1" applyBorder="1" applyFont="1" applyNumberFormat="1">
      <alignment vertical="top"/>
    </xf>
    <xf borderId="8" fillId="3" fontId="14" numFmtId="0" xfId="0" applyAlignment="1" applyBorder="1" applyFont="1">
      <alignment shrinkToFit="0" vertical="top" wrapText="1"/>
    </xf>
    <xf borderId="0" fillId="3" fontId="14" numFmtId="0" xfId="0" applyAlignment="1" applyFont="1">
      <alignment vertical="top"/>
    </xf>
    <xf borderId="0" fillId="3" fontId="14" numFmtId="0" xfId="0" applyAlignment="1" applyFont="1">
      <alignment shrinkToFit="0" vertical="top" wrapText="1"/>
    </xf>
    <xf borderId="0" fillId="3" fontId="14" numFmtId="3" xfId="0" applyAlignment="1" applyFont="1" applyNumberFormat="1">
      <alignment horizontal="right" vertical="top"/>
    </xf>
    <xf borderId="12" fillId="3" fontId="30" numFmtId="166" xfId="0" applyAlignment="1" applyBorder="1" applyFont="1" applyNumberFormat="1">
      <alignment horizontal="right" vertical="top"/>
    </xf>
    <xf borderId="8" fillId="8" fontId="14" numFmtId="0" xfId="0" applyAlignment="1" applyBorder="1" applyFill="1" applyFont="1">
      <alignment shrinkToFit="0" vertical="top" wrapText="1"/>
    </xf>
    <xf borderId="0" fillId="8" fontId="14" numFmtId="169" xfId="0" applyAlignment="1" applyFont="1" applyNumberFormat="1">
      <alignment vertical="top"/>
    </xf>
    <xf borderId="0" fillId="8" fontId="14" numFmtId="0" xfId="0" applyAlignment="1" applyFont="1">
      <alignment shrinkToFit="0" vertical="top" wrapText="1"/>
    </xf>
    <xf borderId="0" fillId="8" fontId="14" numFmtId="0" xfId="0" applyAlignment="1" applyFont="1">
      <alignment horizontal="center" vertical="top"/>
    </xf>
    <xf borderId="0" fillId="8" fontId="31" numFmtId="0" xfId="0" applyAlignment="1" applyFont="1">
      <alignment shrinkToFit="0" vertical="top" wrapText="1"/>
    </xf>
    <xf borderId="0" fillId="8" fontId="14" numFmtId="3" xfId="0" applyAlignment="1" applyFont="1" applyNumberFormat="1">
      <alignment vertical="top"/>
    </xf>
    <xf borderId="0" fillId="8" fontId="14" numFmtId="3" xfId="0" applyAlignment="1" applyFont="1" applyNumberFormat="1">
      <alignment horizontal="right" vertical="top"/>
    </xf>
    <xf borderId="12" fillId="8" fontId="30" numFmtId="166" xfId="0" applyAlignment="1" applyBorder="1" applyFont="1" applyNumberFormat="1">
      <alignment horizontal="right" vertical="top"/>
    </xf>
    <xf borderId="0" fillId="8" fontId="30" numFmtId="165" xfId="0" applyAlignment="1" applyFont="1" applyNumberFormat="1">
      <alignment horizontal="right" vertical="bottom"/>
    </xf>
    <xf borderId="0" fillId="8" fontId="30" numFmtId="3" xfId="0" applyAlignment="1" applyFont="1" applyNumberFormat="1">
      <alignment horizontal="right" vertical="bottom"/>
    </xf>
    <xf borderId="12" fillId="8" fontId="30" numFmtId="166" xfId="0" applyAlignment="1" applyBorder="1" applyFont="1" applyNumberFormat="1">
      <alignment horizontal="right" vertical="bottom"/>
    </xf>
    <xf borderId="0" fillId="0" fontId="32" numFmtId="0" xfId="0" applyAlignment="1" applyFont="1">
      <alignment shrinkToFit="0" vertical="top" wrapText="1"/>
    </xf>
    <xf borderId="12" fillId="0" fontId="30" numFmtId="166" xfId="0" applyAlignment="1" applyBorder="1" applyFont="1" applyNumberFormat="1">
      <alignment horizontal="right" vertical="top"/>
    </xf>
    <xf borderId="0" fillId="0" fontId="14" numFmtId="3" xfId="0" applyAlignment="1" applyFont="1" applyNumberFormat="1">
      <alignment horizontal="right" shrinkToFit="0" vertical="top" wrapText="1"/>
    </xf>
    <xf borderId="0" fillId="0" fontId="14" numFmtId="165" xfId="0" applyAlignment="1" applyFont="1" applyNumberFormat="1">
      <alignment vertical="top"/>
    </xf>
    <xf borderId="0" fillId="0" fontId="15" numFmtId="165" xfId="0" applyAlignment="1" applyFont="1" applyNumberFormat="1">
      <alignment horizontal="right" vertical="bottom"/>
    </xf>
    <xf borderId="12" fillId="0" fontId="15" numFmtId="166" xfId="0" applyAlignment="1" applyBorder="1" applyFont="1" applyNumberFormat="1">
      <alignment horizontal="center" vertical="bottom"/>
    </xf>
    <xf borderId="0" fillId="0" fontId="15" numFmtId="165" xfId="0" applyAlignment="1" applyFont="1" applyNumberFormat="1">
      <alignment horizontal="right" vertical="top"/>
    </xf>
    <xf borderId="0" fillId="0" fontId="15" numFmtId="3" xfId="0" applyAlignment="1" applyFont="1" applyNumberFormat="1">
      <alignment horizontal="right" vertical="top"/>
    </xf>
    <xf borderId="0" fillId="0" fontId="15" numFmtId="3" xfId="0" applyAlignment="1" applyFont="1" applyNumberFormat="1">
      <alignment horizontal="right" vertical="bottom"/>
    </xf>
    <xf borderId="12" fillId="0" fontId="15" numFmtId="166" xfId="0" applyAlignment="1" applyBorder="1" applyFont="1" applyNumberFormat="1">
      <alignment horizontal="right" vertical="bottom"/>
    </xf>
    <xf borderId="0" fillId="3" fontId="14" numFmtId="0" xfId="0" applyAlignment="1" applyFont="1">
      <alignment vertical="bottom"/>
    </xf>
    <xf borderId="0" fillId="3" fontId="15" numFmtId="165" xfId="0" applyAlignment="1" applyFont="1" applyNumberFormat="1">
      <alignment horizontal="right" vertical="bottom"/>
    </xf>
    <xf borderId="0" fillId="3" fontId="15" numFmtId="3" xfId="0" applyAlignment="1" applyFont="1" applyNumberFormat="1">
      <alignment horizontal="right" vertical="bottom"/>
    </xf>
    <xf borderId="12" fillId="3" fontId="15" numFmtId="166" xfId="0" applyAlignment="1" applyBorder="1" applyFont="1" applyNumberFormat="1">
      <alignment horizontal="right" vertical="bottom"/>
    </xf>
    <xf borderId="0" fillId="0" fontId="33" numFmtId="0" xfId="0" applyAlignment="1" applyFont="1">
      <alignment shrinkToFit="0" vertical="bottom" wrapText="1"/>
    </xf>
    <xf borderId="0" fillId="5" fontId="14" numFmtId="0" xfId="0" applyAlignment="1" applyFont="1">
      <alignment vertical="top"/>
    </xf>
    <xf borderId="0" fillId="0" fontId="34" numFmtId="165" xfId="0" applyAlignment="1" applyFont="1" applyNumberFormat="1">
      <alignment horizontal="right" vertical="top"/>
    </xf>
    <xf borderId="12" fillId="0" fontId="34" numFmtId="166" xfId="0" applyAlignment="1" applyBorder="1" applyFont="1" applyNumberFormat="1">
      <alignment horizontal="right" vertical="top"/>
    </xf>
    <xf borderId="0" fillId="0" fontId="35" numFmtId="0" xfId="0" applyAlignment="1" applyFont="1">
      <alignment vertical="top"/>
    </xf>
    <xf borderId="0" fillId="0" fontId="34" numFmtId="0" xfId="0" applyAlignment="1" applyFont="1">
      <alignment vertical="top"/>
    </xf>
    <xf borderId="0" fillId="0" fontId="15" numFmtId="3" xfId="0" applyAlignment="1" applyFont="1" applyNumberFormat="1">
      <alignment vertical="bottom"/>
    </xf>
    <xf borderId="0" fillId="7" fontId="14" numFmtId="4" xfId="0" applyAlignment="1" applyFont="1" applyNumberFormat="1">
      <alignment vertical="top"/>
    </xf>
    <xf borderId="0" fillId="0" fontId="14" numFmtId="165" xfId="0" applyAlignment="1" applyFont="1" applyNumberFormat="1">
      <alignment vertical="bottom"/>
    </xf>
    <xf borderId="12" fillId="0" fontId="14" numFmtId="166" xfId="0" applyAlignment="1" applyBorder="1" applyFont="1" applyNumberFormat="1">
      <alignment vertical="bottom"/>
    </xf>
    <xf borderId="0" fillId="0" fontId="36" numFmtId="0" xfId="0" applyAlignment="1" applyFont="1">
      <alignment shrinkToFit="0" vertical="top" wrapText="1"/>
    </xf>
    <xf borderId="0" fillId="0" fontId="37" numFmtId="0" xfId="0" applyAlignment="1" applyFont="1">
      <alignment vertical="bottom"/>
    </xf>
    <xf borderId="12" fillId="0" fontId="14" numFmtId="4" xfId="0" applyAlignment="1" applyBorder="1" applyFont="1" applyNumberFormat="1">
      <alignment vertical="top"/>
    </xf>
    <xf borderId="0" fillId="0" fontId="34" numFmtId="165" xfId="0" applyAlignment="1" applyFont="1" applyNumberFormat="1">
      <alignment horizontal="right" vertical="bottom"/>
    </xf>
    <xf borderId="12" fillId="0" fontId="34" numFmtId="166" xfId="0" applyAlignment="1" applyBorder="1" applyFont="1" applyNumberFormat="1">
      <alignment horizontal="right" vertical="bottom"/>
    </xf>
    <xf borderId="0" fillId="0" fontId="27" numFmtId="0" xfId="0" applyAlignment="1" applyFont="1">
      <alignment shrinkToFit="0" vertical="top" wrapText="1"/>
    </xf>
    <xf borderId="0" fillId="0" fontId="15" numFmtId="166" xfId="0" applyAlignment="1" applyFont="1" applyNumberFormat="1">
      <alignment horizontal="right" vertical="top"/>
    </xf>
    <xf borderId="8" fillId="0" fontId="27" numFmtId="0" xfId="0" applyAlignment="1" applyBorder="1" applyFont="1">
      <alignment shrinkToFit="0" vertical="top" wrapText="1"/>
    </xf>
    <xf borderId="0" fillId="0" fontId="27" numFmtId="0" xfId="0" applyFont="1"/>
    <xf borderId="0" fillId="0" fontId="14" numFmtId="170" xfId="0" applyAlignment="1" applyFont="1" applyNumberFormat="1">
      <alignment vertical="bottom"/>
    </xf>
    <xf borderId="0" fillId="0" fontId="14" numFmtId="0" xfId="0" applyAlignment="1" applyFont="1">
      <alignment horizontal="center" vertical="bottom"/>
    </xf>
    <xf borderId="0" fillId="0" fontId="38" numFmtId="0" xfId="0" applyAlignment="1" applyFont="1">
      <alignment shrinkToFit="0" vertical="bottom" wrapText="1"/>
    </xf>
    <xf borderId="0" fillId="0" fontId="14" numFmtId="0" xfId="0" applyAlignment="1" applyFont="1">
      <alignment horizontal="right" vertical="bottom"/>
    </xf>
    <xf borderId="0" fillId="4" fontId="27" numFmtId="0" xfId="0" applyAlignment="1" applyFont="1">
      <alignment vertical="bottom"/>
    </xf>
    <xf borderId="0" fillId="4" fontId="14" numFmtId="0" xfId="0" applyAlignment="1" applyFont="1">
      <alignment vertical="bottom"/>
    </xf>
    <xf borderId="0" fillId="0" fontId="27" numFmtId="0" xfId="0" applyAlignment="1" applyFont="1">
      <alignment shrinkToFit="0" wrapText="1"/>
    </xf>
    <xf borderId="0" fillId="0" fontId="14" numFmtId="0" xfId="0" applyFont="1"/>
    <xf borderId="0" fillId="0" fontId="14" numFmtId="0" xfId="0" applyAlignment="1" applyFont="1">
      <alignment horizontal="center"/>
    </xf>
    <xf borderId="0" fillId="0" fontId="39" numFmtId="0" xfId="0" applyAlignment="1" applyFont="1">
      <alignment shrinkToFit="0" wrapText="1"/>
    </xf>
    <xf borderId="0" fillId="0" fontId="14" numFmtId="0" xfId="0" applyAlignment="1" applyFont="1">
      <alignment horizontal="right"/>
    </xf>
    <xf borderId="0" fillId="0" fontId="14" numFmtId="3" xfId="0" applyAlignment="1" applyFont="1" applyNumberFormat="1">
      <alignment horizontal="right"/>
    </xf>
    <xf borderId="0" fillId="0" fontId="15" numFmtId="166" xfId="0" applyAlignment="1" applyFont="1" applyNumberFormat="1">
      <alignment horizontal="right"/>
    </xf>
    <xf borderId="0" fillId="0" fontId="27" numFmtId="0" xfId="0" applyAlignment="1" applyFont="1">
      <alignment vertical="bottom"/>
    </xf>
    <xf borderId="0" fillId="0" fontId="14" numFmtId="171" xfId="0" applyFont="1" applyNumberFormat="1"/>
    <xf borderId="8" fillId="0" fontId="27" numFmtId="0" xfId="0" applyAlignment="1" applyBorder="1" applyFont="1">
      <alignment shrinkToFit="0" wrapText="1"/>
    </xf>
    <xf borderId="0" fillId="0" fontId="14" numFmtId="0" xfId="0" applyAlignment="1" applyFont="1">
      <alignment shrinkToFit="0" wrapText="1"/>
    </xf>
    <xf borderId="0" fillId="0" fontId="14" numFmtId="170" xfId="0" applyAlignment="1" applyFont="1" applyNumberFormat="1">
      <alignment vertical="top"/>
    </xf>
    <xf borderId="8" fillId="9" fontId="27" numFmtId="0" xfId="0" applyAlignment="1" applyBorder="1" applyFill="1" applyFont="1">
      <alignment shrinkToFit="0" vertical="top" wrapText="1"/>
    </xf>
    <xf borderId="0" fillId="9" fontId="14" numFmtId="0" xfId="0" applyAlignment="1" applyFont="1">
      <alignment vertical="top"/>
    </xf>
    <xf borderId="0" fillId="9" fontId="14" numFmtId="3" xfId="0" applyAlignment="1" applyFont="1" applyNumberFormat="1">
      <alignment vertical="top"/>
    </xf>
    <xf borderId="12" fillId="9" fontId="14" numFmtId="10" xfId="0" applyAlignment="1" applyBorder="1" applyFont="1" applyNumberFormat="1">
      <alignment vertical="top"/>
    </xf>
    <xf borderId="0" fillId="0" fontId="15" numFmtId="165" xfId="0" applyAlignment="1" applyFont="1" applyNumberFormat="1">
      <alignment horizontal="right"/>
    </xf>
    <xf borderId="0" fillId="0" fontId="15" numFmtId="3" xfId="0" applyAlignment="1" applyFont="1" applyNumberFormat="1">
      <alignment horizontal="right"/>
    </xf>
    <xf borderId="12" fillId="0" fontId="15" numFmtId="166" xfId="0" applyAlignment="1" applyBorder="1" applyFont="1" applyNumberFormat="1">
      <alignment horizontal="right"/>
    </xf>
    <xf borderId="0" fillId="0" fontId="14" numFmtId="172" xfId="0" applyAlignment="1" applyFont="1" applyNumberFormat="1">
      <alignment vertical="top"/>
    </xf>
    <xf borderId="9" fillId="10" fontId="14" numFmtId="0" xfId="0" applyAlignment="1" applyBorder="1" applyFill="1" applyFont="1">
      <alignment vertical="top"/>
    </xf>
    <xf borderId="35" fillId="10" fontId="14" numFmtId="0" xfId="0" applyAlignment="1" applyBorder="1" applyFont="1">
      <alignment vertical="top"/>
    </xf>
    <xf borderId="35" fillId="10" fontId="27" numFmtId="0" xfId="0" applyAlignment="1" applyBorder="1" applyFont="1">
      <alignment horizontal="right" shrinkToFit="0" vertical="top" wrapText="1"/>
    </xf>
    <xf borderId="35" fillId="10" fontId="27" numFmtId="0" xfId="0" applyAlignment="1" applyBorder="1" applyFont="1">
      <alignment horizontal="center" vertical="top"/>
    </xf>
    <xf borderId="35" fillId="10" fontId="27" numFmtId="3" xfId="0" applyAlignment="1" applyBorder="1" applyFont="1" applyNumberFormat="1">
      <alignment horizontal="right" vertical="top"/>
    </xf>
    <xf borderId="13" fillId="10" fontId="27" numFmtId="4" xfId="0" applyAlignment="1" applyBorder="1" applyFont="1" applyNumberFormat="1">
      <alignment horizontal="right"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mailto:alfriantisabaruddin@icloud.com" TargetMode="External"/><Relationship Id="rId2" Type="http://schemas.openxmlformats.org/officeDocument/2006/relationships/hyperlink" Target="http://sin.sr" TargetMode="External"/><Relationship Id="rId3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://awreceh.id" TargetMode="External"/><Relationship Id="rId2" Type="http://schemas.openxmlformats.org/officeDocument/2006/relationships/hyperlink" Target="http://wow.info" TargetMode="External"/><Relationship Id="rId3" Type="http://schemas.openxmlformats.org/officeDocument/2006/relationships/hyperlink" Target="http://fyifact.id" TargetMode="External"/><Relationship Id="rId4" Type="http://schemas.openxmlformats.org/officeDocument/2006/relationships/hyperlink" Target="http://jevuska.com" TargetMode="External"/><Relationship Id="rId11" Type="http://schemas.openxmlformats.org/officeDocument/2006/relationships/drawing" Target="../drawings/drawing2.xml"/><Relationship Id="rId10" Type="http://schemas.openxmlformats.org/officeDocument/2006/relationships/hyperlink" Target="http://makassarterkini.id" TargetMode="External"/><Relationship Id="rId9" Type="http://schemas.openxmlformats.org/officeDocument/2006/relationships/hyperlink" Target="http://aboutcirebon.id" TargetMode="External"/><Relationship Id="rId5" Type="http://schemas.openxmlformats.org/officeDocument/2006/relationships/hyperlink" Target="http://tangsel.info" TargetMode="External"/><Relationship Id="rId6" Type="http://schemas.openxmlformats.org/officeDocument/2006/relationships/hyperlink" Target="http://gresiksumpek.id" TargetMode="External"/><Relationship Id="rId7" Type="http://schemas.openxmlformats.org/officeDocument/2006/relationships/hyperlink" Target="http://surabayaview.id" TargetMode="External"/><Relationship Id="rId8" Type="http://schemas.openxmlformats.org/officeDocument/2006/relationships/hyperlink" Target="http://madhioen.ae" TargetMode="External"/></Relationships>
</file>

<file path=xl/worksheets/_rels/sheet3.xml.rels><?xml version="1.0" encoding="UTF-8" standalone="yes"?><Relationships xmlns="http://schemas.openxmlformats.org/package/2006/relationships"><Relationship Id="rId20" Type="http://schemas.openxmlformats.org/officeDocument/2006/relationships/hyperlink" Target="https://www.tiktok.com/@andsheblooms/video/7573177501309013266?_r=1&amp;_t=ZS-91SmeFr6svl" TargetMode="External"/><Relationship Id="rId22" Type="http://schemas.openxmlformats.org/officeDocument/2006/relationships/hyperlink" Target="https://www.instagram.com/reel/DRTkgOlDw9x/" TargetMode="External"/><Relationship Id="rId21" Type="http://schemas.openxmlformats.org/officeDocument/2006/relationships/hyperlink" Target="https://www.tiktok.com/@febrinaraamadhani?fbclid=PAZXh0bgNhZW0CMTEAAaeLZe_VqtByX_kcw3DB2QxeB1iYf2HlVjuXkw5MpUDj_-lwT9lUKOd0hPPsWQ_aem_P-D30yFA47PuEGxu5tZ9Ug" TargetMode="External"/><Relationship Id="rId24" Type="http://schemas.openxmlformats.org/officeDocument/2006/relationships/hyperlink" Target="https://www.instagram.com/reel/DRZhQ-9DVuf/?igsh=c3p5bXdmZ2RqMTli" TargetMode="External"/><Relationship Id="rId23" Type="http://schemas.openxmlformats.org/officeDocument/2006/relationships/hyperlink" Target="https://www.tiktok.com/@febrinaraamadhani?fbclid=PAZXh0bgNhZW0CMTEAAaeLZe_VqtByX_kcw3DB2QxeB1iYf2HlVjuXkw5MpUDj_-lwT9lUKOd0hPPsWQ_aem_P-D30yFA47PuEGxu5tZ9Ug" TargetMode="External"/><Relationship Id="rId1" Type="http://schemas.openxmlformats.org/officeDocument/2006/relationships/hyperlink" Target="https://www.instagram.com/prythapramesthi" TargetMode="External"/><Relationship Id="rId2" Type="http://schemas.openxmlformats.org/officeDocument/2006/relationships/hyperlink" Target="https://www.instagram.com/p/DQWdPYukxqW/" TargetMode="External"/><Relationship Id="rId3" Type="http://schemas.openxmlformats.org/officeDocument/2006/relationships/hyperlink" Target="https://www.instagram.com/prythapramesthi" TargetMode="External"/><Relationship Id="rId4" Type="http://schemas.openxmlformats.org/officeDocument/2006/relationships/hyperlink" Target="https://www.tiktok.com/@prythaaa/video/7566238382657932551?_r=1&amp;_t=ZS-902wPY3ZwOt" TargetMode="External"/><Relationship Id="rId9" Type="http://schemas.openxmlformats.org/officeDocument/2006/relationships/hyperlink" Target="https://www.tiktok.com/@novitanggrainie" TargetMode="External"/><Relationship Id="rId26" Type="http://schemas.openxmlformats.org/officeDocument/2006/relationships/hyperlink" Target="https://www.tiktok.com/@badaisamudrar/video/7575896534823324935?_r=1&amp;_t=ZS-91dh1cbkEGF" TargetMode="External"/><Relationship Id="rId25" Type="http://schemas.openxmlformats.org/officeDocument/2006/relationships/hyperlink" Target="https://www.tiktok.com/@febrinaraamadhani?fbclid=PAZXh0bgNhZW0CMTEAAaeLZe_VqtByX_kcw3DB2QxeB1iYf2HlVjuXkw5MpUDj_-lwT9lUKOd0hPPsWQ_aem_P-D30yFA47PuEGxu5tZ9Ug" TargetMode="External"/><Relationship Id="rId28" Type="http://schemas.openxmlformats.org/officeDocument/2006/relationships/hyperlink" Target="https://www.tiktok.com/@febrinaraamadhani/video/7576116429905251592" TargetMode="External"/><Relationship Id="rId27" Type="http://schemas.openxmlformats.org/officeDocument/2006/relationships/hyperlink" Target="https://www.tiktok.com/@febrinaraamadhani?fbclid=PAZXh0bgNhZW0CMTEAAaeLZe_VqtByX_kcw3DB2QxeB1iYf2HlVjuXkw5MpUDj_-lwT9lUKOd0hPPsWQ_aem_P-D30yFA47PuEGxu5tZ9Ug" TargetMode="External"/><Relationship Id="rId5" Type="http://schemas.openxmlformats.org/officeDocument/2006/relationships/hyperlink" Target="https://www.instagram.com/febrinaraamadhani" TargetMode="External"/><Relationship Id="rId6" Type="http://schemas.openxmlformats.org/officeDocument/2006/relationships/hyperlink" Target="https://www.instagram.com/reel/DQgXDoBD5W3/" TargetMode="External"/><Relationship Id="rId29" Type="http://schemas.openxmlformats.org/officeDocument/2006/relationships/hyperlink" Target="https://www.instagram.com/badaisamudrar/" TargetMode="External"/><Relationship Id="rId7" Type="http://schemas.openxmlformats.org/officeDocument/2006/relationships/hyperlink" Target="https://www.instagram.com/novitanggrainie/" TargetMode="External"/><Relationship Id="rId8" Type="http://schemas.openxmlformats.org/officeDocument/2006/relationships/hyperlink" Target="https://www.instagram.com/reel/DQmAQ-xk37j/?igsh=MWUyYTVkdzQ1eDFhMw==" TargetMode="External"/><Relationship Id="rId31" Type="http://schemas.openxmlformats.org/officeDocument/2006/relationships/hyperlink" Target="https://www.tiktok.com/@badaisamudrar/video/7593924885374635282" TargetMode="External"/><Relationship Id="rId30" Type="http://schemas.openxmlformats.org/officeDocument/2006/relationships/hyperlink" Target="https://www.instagram.com/p/DTU_Nchk0j2/" TargetMode="External"/><Relationship Id="rId11" Type="http://schemas.openxmlformats.org/officeDocument/2006/relationships/hyperlink" Target="https://www.instagram.com/febrinaraamadhani" TargetMode="External"/><Relationship Id="rId10" Type="http://schemas.openxmlformats.org/officeDocument/2006/relationships/hyperlink" Target="https://vt.tiktok.com/ZSyDQSLFo/" TargetMode="External"/><Relationship Id="rId32" Type="http://schemas.openxmlformats.org/officeDocument/2006/relationships/drawing" Target="../drawings/drawing3.xml"/><Relationship Id="rId13" Type="http://schemas.openxmlformats.org/officeDocument/2006/relationships/hyperlink" Target="https://www.tiktok.com/@febrinaraamadhani?fbclid=PAZXh0bgNhZW0CMTEAAaeLZe_VqtByX_kcw3DB2QxeB1iYf2HlVjuXkw5MpUDj_-lwT9lUKOd0hPPsWQ_aem_P-D30yFA47PuEGxu5tZ9Ug" TargetMode="External"/><Relationship Id="rId12" Type="http://schemas.openxmlformats.org/officeDocument/2006/relationships/hyperlink" Target="https://www.instagram.com/reel/DQnfOawj5tN/" TargetMode="External"/><Relationship Id="rId15" Type="http://schemas.openxmlformats.org/officeDocument/2006/relationships/hyperlink" Target="https://www.tiktok.com/@febrinaraamadhani?fbclid=PAZXh0bgNhZW0CMTEAAaeLZe_VqtByX_kcw3DB2QxeB1iYf2HlVjuXkw5MpUDj_-lwT9lUKOd0hPPsWQ_aem_P-D30yFA47PuEGxu5tZ9Ug" TargetMode="External"/><Relationship Id="rId14" Type="http://schemas.openxmlformats.org/officeDocument/2006/relationships/hyperlink" Target="https://www.tiktok.com/@febrinaraamadhani/video/7569243186728537351" TargetMode="External"/><Relationship Id="rId17" Type="http://schemas.openxmlformats.org/officeDocument/2006/relationships/hyperlink" Target="https://www.instagram.com/andinshifaaa" TargetMode="External"/><Relationship Id="rId16" Type="http://schemas.openxmlformats.org/officeDocument/2006/relationships/hyperlink" Target="https://www.tiktok.com/@febrinaraamadhani/video/7570556275973541138" TargetMode="External"/><Relationship Id="rId19" Type="http://schemas.openxmlformats.org/officeDocument/2006/relationships/hyperlink" Target="https://www.instagram.com/andinshifaaa" TargetMode="External"/><Relationship Id="rId18" Type="http://schemas.openxmlformats.org/officeDocument/2006/relationships/hyperlink" Target="https://www.instagram.com/reel/DRE3VtRkfaX/?igsh=MXQ1N3NxNnNyM200OQ%3D%3D" TargetMode="External"/></Relationships>
</file>

<file path=xl/worksheets/_rels/sheet4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instagram.com/p/DMcqgDmBQxf/?img_index=1" TargetMode="External"/><Relationship Id="rId42" Type="http://schemas.openxmlformats.org/officeDocument/2006/relationships/hyperlink" Target="https://www.linkedin.com/posts/dana-indonesia_sisberdaya-sisberdaya2025-dana-activity-7350116795388747777-0BZp?utm_source=share&amp;utm_medium=member_desktop&amp;rcm=ACoAABkzbf4BbS4hvKS0fGvtG1nVLRCgyurD254" TargetMode="External"/><Relationship Id="rId41" Type="http://schemas.openxmlformats.org/officeDocument/2006/relationships/hyperlink" Target="https://www.instagram.com/p/DMh0K-hJnHG/?img_index=1" TargetMode="External"/><Relationship Id="rId44" Type="http://schemas.openxmlformats.org/officeDocument/2006/relationships/hyperlink" Target="https://www.linkedin.com/feed/update/urn:li:activity:7354465475143061504" TargetMode="External"/><Relationship Id="rId43" Type="http://schemas.openxmlformats.org/officeDocument/2006/relationships/hyperlink" Target="https://www.linkedin.com/feed/update/urn:li:activity:7353740693510479873" TargetMode="External"/><Relationship Id="rId46" Type="http://schemas.openxmlformats.org/officeDocument/2006/relationships/hyperlink" Target="https://www.instagram.com/reel/DMem-MSyKPr/" TargetMode="External"/><Relationship Id="rId45" Type="http://schemas.openxmlformats.org/officeDocument/2006/relationships/hyperlink" Target="https://www.instagram.com/p/DMSXKoJS4pE/?img_index=1" TargetMode="External"/><Relationship Id="rId107" Type="http://schemas.openxmlformats.org/officeDocument/2006/relationships/hyperlink" Target="https://www.instagram.com/p/DJWZeuXscym/" TargetMode="External"/><Relationship Id="rId106" Type="http://schemas.openxmlformats.org/officeDocument/2006/relationships/hyperlink" Target="https://www.instagram.com/p/DJ_Dz8sz5Fc/" TargetMode="External"/><Relationship Id="rId105" Type="http://schemas.openxmlformats.org/officeDocument/2006/relationships/hyperlink" Target="https://www.instagram.com/p/DJ7upVzTR5w/" TargetMode="External"/><Relationship Id="rId104" Type="http://schemas.openxmlformats.org/officeDocument/2006/relationships/hyperlink" Target="https://www.instagram.com/reel/DJ8v2bwBhag/?igsh=MWZ3NjM1ZHQ1NGYwcg%3D%3D" TargetMode="External"/><Relationship Id="rId108" Type="http://schemas.openxmlformats.org/officeDocument/2006/relationships/drawing" Target="../drawings/drawing4.xml"/><Relationship Id="rId48" Type="http://schemas.openxmlformats.org/officeDocument/2006/relationships/hyperlink" Target="https://www.instagram.com/p/DNF3Lk1uAjQ/?img_index=1" TargetMode="External"/><Relationship Id="rId47" Type="http://schemas.openxmlformats.org/officeDocument/2006/relationships/hyperlink" Target="https://www.instagram.com/reel/DMhsyNJTCTp/" TargetMode="External"/><Relationship Id="rId49" Type="http://schemas.openxmlformats.org/officeDocument/2006/relationships/hyperlink" Target="https://www.instagram.com/p/DNQKPmryHJE/" TargetMode="External"/><Relationship Id="rId103" Type="http://schemas.openxmlformats.org/officeDocument/2006/relationships/hyperlink" Target="https://www.instagram.com/p/DJ_fBviSv4r/" TargetMode="External"/><Relationship Id="rId102" Type="http://schemas.openxmlformats.org/officeDocument/2006/relationships/hyperlink" Target="https://www.instagram.com/reel/DJ-u1HHTYgs/?igsh=ZHZ2bG15dm1wcmhh" TargetMode="External"/><Relationship Id="rId101" Type="http://schemas.openxmlformats.org/officeDocument/2006/relationships/hyperlink" Target="https://www.instagram.com/p/DJ4IbEezK76/" TargetMode="External"/><Relationship Id="rId100" Type="http://schemas.openxmlformats.org/officeDocument/2006/relationships/hyperlink" Target="https://www.instagram.com/p/DKCekCUSNqR/" TargetMode="External"/><Relationship Id="rId31" Type="http://schemas.openxmlformats.org/officeDocument/2006/relationships/hyperlink" Target="https://www.linkedin.com/feed/update/urn:li:activity:7340336052387123201" TargetMode="External"/><Relationship Id="rId30" Type="http://schemas.openxmlformats.org/officeDocument/2006/relationships/hyperlink" Target="https://www.linkedin.com/feed/update/urn:li:activity:7338882779348160513" TargetMode="External"/><Relationship Id="rId33" Type="http://schemas.openxmlformats.org/officeDocument/2006/relationships/hyperlink" Target="https://www.linkedin.com/feed/update/urn:li:activity:7345405774308810754" TargetMode="External"/><Relationship Id="rId32" Type="http://schemas.openxmlformats.org/officeDocument/2006/relationships/hyperlink" Target="https://www.linkedin.com/feed/update/urn:li:activity:7342869058372997120" TargetMode="External"/><Relationship Id="rId35" Type="http://schemas.openxmlformats.org/officeDocument/2006/relationships/hyperlink" Target="https://www.instagram.com/p/DLPah-hS8G4/?img_index=1" TargetMode="External"/><Relationship Id="rId34" Type="http://schemas.openxmlformats.org/officeDocument/2006/relationships/hyperlink" Target="https://www.instagram.com/p/DLPah-hS8G4/?img_index=1" TargetMode="External"/><Relationship Id="rId37" Type="http://schemas.openxmlformats.org/officeDocument/2006/relationships/hyperlink" Target="https://www.instagram.com/p/DLhqB2EyI_D/" TargetMode="External"/><Relationship Id="rId36" Type="http://schemas.openxmlformats.org/officeDocument/2006/relationships/hyperlink" Target="https://www.instagram.com/reel/DLWHbeAT9OW/" TargetMode="External"/><Relationship Id="rId39" Type="http://schemas.openxmlformats.org/officeDocument/2006/relationships/hyperlink" Target="https://www.instagram.com/p/DL9w0pwSLQU/" TargetMode="External"/><Relationship Id="rId38" Type="http://schemas.openxmlformats.org/officeDocument/2006/relationships/hyperlink" Target="https://www.instagram.com/p/DLmlqMYy6Yg/?img_index=1" TargetMode="External"/><Relationship Id="rId20" Type="http://schemas.openxmlformats.org/officeDocument/2006/relationships/hyperlink" Target="https://www.linkedin.com/feed/update/urn:li:activity:7334035845991026689" TargetMode="External"/><Relationship Id="rId22" Type="http://schemas.openxmlformats.org/officeDocument/2006/relationships/hyperlink" Target="https://www.instagram.com/reel/DKLl3YAzdLA/?igsh=MXgxd3prcmdpd2x5Mw==" TargetMode="External"/><Relationship Id="rId21" Type="http://schemas.openxmlformats.org/officeDocument/2006/relationships/hyperlink" Target="https://www.instagram.com/p/DJ1Y5plPnEM/" TargetMode="External"/><Relationship Id="rId24" Type="http://schemas.openxmlformats.org/officeDocument/2006/relationships/hyperlink" Target="https://www.instagram.com/p/DKHURHyS01H/?img_index=1" TargetMode="External"/><Relationship Id="rId23" Type="http://schemas.openxmlformats.org/officeDocument/2006/relationships/hyperlink" Target="https://www.instagram.com/p/DJ_l50iywFO/?img_index=1" TargetMode="External"/><Relationship Id="rId26" Type="http://schemas.openxmlformats.org/officeDocument/2006/relationships/hyperlink" Target="https://www.instagram.com/p/DKwg9dfppLA/" TargetMode="External"/><Relationship Id="rId25" Type="http://schemas.openxmlformats.org/officeDocument/2006/relationships/hyperlink" Target="https://www.instagram.com/p/DKZV1Sttvdc/?img_index=1" TargetMode="External"/><Relationship Id="rId28" Type="http://schemas.openxmlformats.org/officeDocument/2006/relationships/hyperlink" Target="https://www.instagram.com/p/DK9aC6dB75K/?img_index=1" TargetMode="External"/><Relationship Id="rId27" Type="http://schemas.openxmlformats.org/officeDocument/2006/relationships/hyperlink" Target="https://www.instagram.com/p/DKzFyfIScW_/?img_index=1" TargetMode="External"/><Relationship Id="rId29" Type="http://schemas.openxmlformats.org/officeDocument/2006/relationships/hyperlink" Target="https://www.linkedin.com/feed/update/urn:li:activity:7335258907444973568" TargetMode="External"/><Relationship Id="rId95" Type="http://schemas.openxmlformats.org/officeDocument/2006/relationships/hyperlink" Target="https://www.instagram.com/stories/wajahbundaid/" TargetMode="External"/><Relationship Id="rId94" Type="http://schemas.openxmlformats.org/officeDocument/2006/relationships/hyperlink" Target="https://www.instagram.com/reel/DNZhqVtvRXA/?igsh=MTQwZjJhcTZpZG1ueQ==" TargetMode="External"/><Relationship Id="rId97" Type="http://schemas.openxmlformats.org/officeDocument/2006/relationships/hyperlink" Target="https://www.instagram.com/stories/mamasupportmama/" TargetMode="External"/><Relationship Id="rId96" Type="http://schemas.openxmlformats.org/officeDocument/2006/relationships/hyperlink" Target="https://www.instagram.com/stories/womanchoice__/3627617232785821194/" TargetMode="External"/><Relationship Id="rId11" Type="http://schemas.openxmlformats.org/officeDocument/2006/relationships/hyperlink" Target="https://www.instagram.com/p/DJ9BDbzvRYk/" TargetMode="External"/><Relationship Id="rId99" Type="http://schemas.openxmlformats.org/officeDocument/2006/relationships/hyperlink" Target="https://www.instagram.com/stories/birthclubindonesia/3627081218149696205/" TargetMode="External"/><Relationship Id="rId10" Type="http://schemas.openxmlformats.org/officeDocument/2006/relationships/hyperlink" Target="https://www.instagram.com/p/DJ1WJ6IB9iE/?img_index=1" TargetMode="External"/><Relationship Id="rId98" Type="http://schemas.openxmlformats.org/officeDocument/2006/relationships/hyperlink" Target="https://www.instagram.com/stories/ibuhebat_/" TargetMode="External"/><Relationship Id="rId13" Type="http://schemas.openxmlformats.org/officeDocument/2006/relationships/hyperlink" Target="https://www.instagram.com/p/DKQxn5VqiTS/?img_index=1" TargetMode="External"/><Relationship Id="rId12" Type="http://schemas.openxmlformats.org/officeDocument/2006/relationships/hyperlink" Target="https://www.instagram.com/p/DJ_S2sdPgVB/?img_index=1" TargetMode="External"/><Relationship Id="rId91" Type="http://schemas.openxmlformats.org/officeDocument/2006/relationships/hyperlink" Target="https://www.instagram.com/reel/DMVLrS5Si0f/?igsh=dzY1aXE4aHg0cjEx" TargetMode="External"/><Relationship Id="rId90" Type="http://schemas.openxmlformats.org/officeDocument/2006/relationships/hyperlink" Target="https://vt.tiktok.com/ZShkmHsVE/" TargetMode="External"/><Relationship Id="rId93" Type="http://schemas.openxmlformats.org/officeDocument/2006/relationships/hyperlink" Target="https://www.instagram.com/reel/DNZw-IGSE13/?igsh=MXR5YzE3aTJzazM2Zw==" TargetMode="External"/><Relationship Id="rId92" Type="http://schemas.openxmlformats.org/officeDocument/2006/relationships/hyperlink" Target="https://www.instagram.com/p/DNktgEuSz7U/" TargetMode="External"/><Relationship Id="rId15" Type="http://schemas.openxmlformats.org/officeDocument/2006/relationships/hyperlink" Target="https://www.linkedin.com/posts/dana-indonesia_sisberdaya-2025-activity-7326923967867277312-L-ll?utm_source=share&amp;utm_medium=member_desktop&amp;rcm=ACoAABkzbf4BbS4hvKS0fGvtG1nVLRCgyurD254" TargetMode="External"/><Relationship Id="rId14" Type="http://schemas.openxmlformats.org/officeDocument/2006/relationships/hyperlink" Target="https://www.linkedin.com/feed/update/urn:li:activity:7325732628458803200" TargetMode="External"/><Relationship Id="rId17" Type="http://schemas.openxmlformats.org/officeDocument/2006/relationships/hyperlink" Target="https://www.linkedin.com/feed/update/urn:li:activity:7329823070011961344" TargetMode="External"/><Relationship Id="rId16" Type="http://schemas.openxmlformats.org/officeDocument/2006/relationships/hyperlink" Target="https://www.linkedin.com/feed/update/urn:li:activity:7329460687460532224" TargetMode="External"/><Relationship Id="rId19" Type="http://schemas.openxmlformats.org/officeDocument/2006/relationships/hyperlink" Target="https://www.linkedin.com/feed/update/urn:li:activity:7331651767937499136/" TargetMode="External"/><Relationship Id="rId18" Type="http://schemas.openxmlformats.org/officeDocument/2006/relationships/hyperlink" Target="https://www.linkedin.com/feed/update/urn:li:activity:7330204687842902016" TargetMode="External"/><Relationship Id="rId84" Type="http://schemas.openxmlformats.org/officeDocument/2006/relationships/hyperlink" Target="https://www.instagram.com/p/DJWXqrLSL7G/" TargetMode="External"/><Relationship Id="rId83" Type="http://schemas.openxmlformats.org/officeDocument/2006/relationships/hyperlink" Target="https://www.instagram.com/p/DJWNNLPy0Dg/?img_index=1" TargetMode="External"/><Relationship Id="rId86" Type="http://schemas.openxmlformats.org/officeDocument/2006/relationships/hyperlink" Target="https://www.instagram.com/p/DJWLdiCPm7K/" TargetMode="External"/><Relationship Id="rId85" Type="http://schemas.openxmlformats.org/officeDocument/2006/relationships/hyperlink" Target="https://www.instagram.com/stories/motherhopeind/3632208991121821707/" TargetMode="External"/><Relationship Id="rId88" Type="http://schemas.openxmlformats.org/officeDocument/2006/relationships/hyperlink" Target="https://www.instagram.com/stories/womanchoice__/" TargetMode="External"/><Relationship Id="rId87" Type="http://schemas.openxmlformats.org/officeDocument/2006/relationships/hyperlink" Target="https://www.instagram.com/p/DJX8-R0Sok0/?img_index=2" TargetMode="External"/><Relationship Id="rId89" Type="http://schemas.openxmlformats.org/officeDocument/2006/relationships/hyperlink" Target="https://www.instagram.com/p/DJWNjWnx4Kj/?igsh=MWdjZXlkZnE1M3NmeQ==" TargetMode="External"/><Relationship Id="rId80" Type="http://schemas.openxmlformats.org/officeDocument/2006/relationships/hyperlink" Target="https://www.instagram.com/p/DJV5abuSdKr/" TargetMode="External"/><Relationship Id="rId82" Type="http://schemas.openxmlformats.org/officeDocument/2006/relationships/hyperlink" Target="https://www.instagram.com/stories/ibuhebat_/" TargetMode="External"/><Relationship Id="rId81" Type="http://schemas.openxmlformats.org/officeDocument/2006/relationships/hyperlink" Target="https://drive.google.com/file/d/1_m_4y8_L78BC5yuZi42YKLx6daS4cF_M/view?usp=drive_link" TargetMode="External"/><Relationship Id="rId1" Type="http://schemas.openxmlformats.org/officeDocument/2006/relationships/hyperlink" Target="https://www.instagram.com/p/DI1KAFAyC0q/" TargetMode="External"/><Relationship Id="rId2" Type="http://schemas.openxmlformats.org/officeDocument/2006/relationships/hyperlink" Target="https://www.instagram.com/p/DJHQYITzjp6/" TargetMode="External"/><Relationship Id="rId3" Type="http://schemas.openxmlformats.org/officeDocument/2006/relationships/hyperlink" Target="https://www.instagram.com/p/DIyWCOFy_wq/?img_index=1" TargetMode="External"/><Relationship Id="rId4" Type="http://schemas.openxmlformats.org/officeDocument/2006/relationships/hyperlink" Target="https://www.instagram.com/p/DI_N_fKyn4z/?img_index=3" TargetMode="External"/><Relationship Id="rId9" Type="http://schemas.openxmlformats.org/officeDocument/2006/relationships/hyperlink" Target="https://www.instagram.com/p/DJyt4V-SA6Q/" TargetMode="External"/><Relationship Id="rId5" Type="http://schemas.openxmlformats.org/officeDocument/2006/relationships/hyperlink" Target="https://www.instagram.com/p/DJTLKnhStV7/" TargetMode="External"/><Relationship Id="rId6" Type="http://schemas.openxmlformats.org/officeDocument/2006/relationships/hyperlink" Target="https://www.instagram.com/p/DJWZeuXscym/" TargetMode="External"/><Relationship Id="rId7" Type="http://schemas.openxmlformats.org/officeDocument/2006/relationships/hyperlink" Target="https://www.instagram.com/p/DJeHhHkBAcr/?img_index=1" TargetMode="External"/><Relationship Id="rId8" Type="http://schemas.openxmlformats.org/officeDocument/2006/relationships/hyperlink" Target="https://www.instagram.com/p/DJwJMxYva7J/?img_index=1" TargetMode="External"/><Relationship Id="rId73" Type="http://schemas.openxmlformats.org/officeDocument/2006/relationships/hyperlink" Target="https://www.instagram.com/reel/DMRclPmzYsK/?igsh=MWMyM3k0MzZnYTBmMQ%3D%3D" TargetMode="External"/><Relationship Id="rId72" Type="http://schemas.openxmlformats.org/officeDocument/2006/relationships/hyperlink" Target="https://www.instagram.com/reel/DMIMULzTloE/?igsh=MWU5c20yMjAzbTRubw==" TargetMode="External"/><Relationship Id="rId75" Type="http://schemas.openxmlformats.org/officeDocument/2006/relationships/hyperlink" Target="https://www.instagram.com/reel/DNUpf12TQRR/?igsh=MTB2aWV5d2poMTk5Mg==" TargetMode="External"/><Relationship Id="rId74" Type="http://schemas.openxmlformats.org/officeDocument/2006/relationships/hyperlink" Target="https://www.instagram.com/p/DNmx6qtzA1V/?img_index=1" TargetMode="External"/><Relationship Id="rId77" Type="http://schemas.openxmlformats.org/officeDocument/2006/relationships/hyperlink" Target="https://www.instagram.com/reel/DNVeQ39P--N/?igsh=MWNkaGIxdHhsN2R3dg==" TargetMode="External"/><Relationship Id="rId76" Type="http://schemas.openxmlformats.org/officeDocument/2006/relationships/hyperlink" Target="https://www.instagram.com/reel/DNZsDXXTQ2J/?igsh=MWk4N2Rub3hkMGVuZQ==" TargetMode="External"/><Relationship Id="rId79" Type="http://schemas.openxmlformats.org/officeDocument/2006/relationships/hyperlink" Target="https://www.instagram.com/stories/momsindonesia/" TargetMode="External"/><Relationship Id="rId78" Type="http://schemas.openxmlformats.org/officeDocument/2006/relationships/hyperlink" Target="https://www.instagram.com/reel/DNZR4SAyAfr/?igsh=MXFzbWYwNWRla3Zw" TargetMode="External"/><Relationship Id="rId71" Type="http://schemas.openxmlformats.org/officeDocument/2006/relationships/hyperlink" Target="https://www.instagram.com/reel/DMHvZm9SwVN/?igsh=b2pqdGE5emU3dTNx" TargetMode="External"/><Relationship Id="rId70" Type="http://schemas.openxmlformats.org/officeDocument/2006/relationships/hyperlink" Target="https://www.instagram.com/p/DME3RmgvEGS/" TargetMode="External"/><Relationship Id="rId62" Type="http://schemas.openxmlformats.org/officeDocument/2006/relationships/hyperlink" Target="https://www.instagram.com/p/DJWOFsuR7VR/" TargetMode="External"/><Relationship Id="rId61" Type="http://schemas.openxmlformats.org/officeDocument/2006/relationships/hyperlink" Target="https://www.instagram.com/stories/ntt.update/3632064870657981791/" TargetMode="External"/><Relationship Id="rId64" Type="http://schemas.openxmlformats.org/officeDocument/2006/relationships/hyperlink" Target="https://www.instagram.com/p/DJWfd8QTPrg/" TargetMode="External"/><Relationship Id="rId63" Type="http://schemas.openxmlformats.org/officeDocument/2006/relationships/hyperlink" Target="https://www.instagram.com/stories/kabarsamarinda_official/" TargetMode="External"/><Relationship Id="rId66" Type="http://schemas.openxmlformats.org/officeDocument/2006/relationships/hyperlink" Target="https://www.instagram.com/p/DJdUqmpSjUT/" TargetMode="External"/><Relationship Id="rId65" Type="http://schemas.openxmlformats.org/officeDocument/2006/relationships/hyperlink" Target="https://www.instagram.com/stories/umkm.indonesia_/" TargetMode="External"/><Relationship Id="rId68" Type="http://schemas.openxmlformats.org/officeDocument/2006/relationships/hyperlink" Target="https://www.instagram.com/p/DJdV7S3p06z/?img_index=1" TargetMode="External"/><Relationship Id="rId67" Type="http://schemas.openxmlformats.org/officeDocument/2006/relationships/hyperlink" Target="https://www.instagram.com/stories/palembangterkini.official/3629152491176365375?utm_source=ig_story_item_share&amp;igsh=MXA4cTJqbGFoN2FlNQ==" TargetMode="External"/><Relationship Id="rId60" Type="http://schemas.openxmlformats.org/officeDocument/2006/relationships/hyperlink" Target="https://www.instagram.com/p/DJWENFHPOfe/" TargetMode="External"/><Relationship Id="rId69" Type="http://schemas.openxmlformats.org/officeDocument/2006/relationships/hyperlink" Target="https://www.instagram.com/p/DJ6bRy1zH9d/" TargetMode="External"/><Relationship Id="rId51" Type="http://schemas.openxmlformats.org/officeDocument/2006/relationships/hyperlink" Target="https://www.linkedin.com/feed/update/urn:li:activity:7360988465745813505" TargetMode="External"/><Relationship Id="rId50" Type="http://schemas.openxmlformats.org/officeDocument/2006/relationships/hyperlink" Target="https://www.linkedin.com/feed/update/urn:li:activity:7359538913121611776" TargetMode="External"/><Relationship Id="rId53" Type="http://schemas.openxmlformats.org/officeDocument/2006/relationships/hyperlink" Target="https://www.instagram.com/stories/infojabarnews/3632356106058068723?igsh=MXhya24zeTB5MmsxYg==" TargetMode="External"/><Relationship Id="rId52" Type="http://schemas.openxmlformats.org/officeDocument/2006/relationships/hyperlink" Target="https://www.instagram.com/p/DJWGu5ITbnS/" TargetMode="External"/><Relationship Id="rId55" Type="http://schemas.openxmlformats.org/officeDocument/2006/relationships/hyperlink" Target="https://www.instagram.com/stories/kabarjogjaterkini/" TargetMode="External"/><Relationship Id="rId54" Type="http://schemas.openxmlformats.org/officeDocument/2006/relationships/hyperlink" Target="https://www.instagram.com/p/DJWFy4exrk1/?img_index=2" TargetMode="External"/><Relationship Id="rId57" Type="http://schemas.openxmlformats.org/officeDocument/2006/relationships/hyperlink" Target="https://www.instagram.com/stories/info_surabaya/3632103097322822938/" TargetMode="External"/><Relationship Id="rId56" Type="http://schemas.openxmlformats.org/officeDocument/2006/relationships/hyperlink" Target="https://www.instagram.com/p/DJWVtibhxNq/" TargetMode="External"/><Relationship Id="rId59" Type="http://schemas.openxmlformats.org/officeDocument/2006/relationships/hyperlink" Target="https://www.instagram.com/stories/balinewsid/3632106426530089751/" TargetMode="External"/><Relationship Id="rId58" Type="http://schemas.openxmlformats.org/officeDocument/2006/relationships/hyperlink" Target="https://www.instagram.com/p/DJWKE32PyGz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3" t="s">
        <v>10</v>
      </c>
      <c r="L1" s="4"/>
    </row>
    <row r="2">
      <c r="A2" s="5">
        <v>1.0</v>
      </c>
      <c r="B2" s="6" t="s">
        <v>11</v>
      </c>
      <c r="C2" s="5" t="s">
        <v>12</v>
      </c>
      <c r="D2" s="5">
        <v>1.0</v>
      </c>
      <c r="E2" s="5" t="s">
        <v>13</v>
      </c>
      <c r="F2" s="5" t="s">
        <v>14</v>
      </c>
      <c r="G2" s="5" t="s">
        <v>15</v>
      </c>
      <c r="H2" s="5" t="s">
        <v>16</v>
      </c>
      <c r="I2" s="5" t="s">
        <v>17</v>
      </c>
      <c r="J2" s="5">
        <v>8.561542352E9</v>
      </c>
      <c r="K2" s="7" t="s">
        <v>14</v>
      </c>
      <c r="L2" s="8" t="s">
        <v>18</v>
      </c>
    </row>
    <row r="3">
      <c r="A3" s="9"/>
      <c r="B3" s="9"/>
      <c r="C3" s="9"/>
      <c r="D3" s="9"/>
      <c r="E3" s="9"/>
      <c r="F3" s="9"/>
      <c r="G3" s="9"/>
      <c r="H3" s="9"/>
      <c r="I3" s="9"/>
      <c r="J3" s="9"/>
      <c r="K3" s="7" t="s">
        <v>19</v>
      </c>
      <c r="L3" s="8" t="s">
        <v>20</v>
      </c>
    </row>
    <row r="4">
      <c r="A4" s="10"/>
      <c r="B4" s="9"/>
      <c r="C4" s="9"/>
      <c r="D4" s="9"/>
      <c r="E4" s="9"/>
      <c r="F4" s="9"/>
      <c r="G4" s="9"/>
      <c r="H4" s="9"/>
      <c r="I4" s="9"/>
      <c r="J4" s="9"/>
      <c r="K4" s="7" t="s">
        <v>21</v>
      </c>
      <c r="L4" s="8" t="s">
        <v>22</v>
      </c>
    </row>
    <row r="5">
      <c r="A5" s="5">
        <v>2.0</v>
      </c>
      <c r="B5" s="6" t="s">
        <v>23</v>
      </c>
      <c r="C5" s="5" t="s">
        <v>24</v>
      </c>
      <c r="D5" s="11"/>
      <c r="E5" s="11"/>
      <c r="F5" s="5" t="s">
        <v>14</v>
      </c>
      <c r="G5" s="5">
        <v>3.523</v>
      </c>
      <c r="H5" s="5" t="s">
        <v>25</v>
      </c>
      <c r="I5" s="11"/>
      <c r="J5" s="11"/>
      <c r="K5" s="7" t="s">
        <v>14</v>
      </c>
      <c r="L5" s="12"/>
    </row>
    <row r="6">
      <c r="A6" s="9"/>
      <c r="B6" s="9"/>
      <c r="C6" s="9"/>
      <c r="D6" s="9"/>
      <c r="E6" s="9"/>
      <c r="F6" s="9"/>
      <c r="G6" s="9"/>
      <c r="H6" s="9"/>
      <c r="I6" s="9"/>
      <c r="J6" s="9"/>
      <c r="K6" s="7" t="s">
        <v>19</v>
      </c>
      <c r="L6" s="12"/>
    </row>
    <row r="7">
      <c r="A7" s="10"/>
      <c r="B7" s="9"/>
      <c r="C7" s="9"/>
      <c r="D7" s="9"/>
      <c r="E7" s="9"/>
      <c r="F7" s="9"/>
      <c r="G7" s="9"/>
      <c r="H7" s="9"/>
      <c r="I7" s="9"/>
      <c r="J7" s="9"/>
      <c r="K7" s="7" t="s">
        <v>21</v>
      </c>
      <c r="L7" s="12"/>
    </row>
    <row r="8">
      <c r="A8" s="5">
        <v>3.0</v>
      </c>
      <c r="B8" s="6" t="s">
        <v>26</v>
      </c>
      <c r="C8" s="5" t="s">
        <v>27</v>
      </c>
      <c r="D8" s="5">
        <v>1.0</v>
      </c>
      <c r="E8" s="5" t="s">
        <v>28</v>
      </c>
      <c r="F8" s="5" t="s">
        <v>14</v>
      </c>
      <c r="G8" s="5" t="s">
        <v>29</v>
      </c>
      <c r="H8" s="5" t="s">
        <v>30</v>
      </c>
      <c r="I8" s="5" t="s">
        <v>31</v>
      </c>
      <c r="J8" s="5">
        <v>8.5117142556E10</v>
      </c>
      <c r="K8" s="7" t="s">
        <v>14</v>
      </c>
      <c r="L8" s="8">
        <v>650.0</v>
      </c>
    </row>
    <row r="9">
      <c r="A9" s="9"/>
      <c r="B9" s="9"/>
      <c r="C9" s="9"/>
      <c r="D9" s="9"/>
      <c r="E9" s="9"/>
      <c r="F9" s="9"/>
      <c r="G9" s="9"/>
      <c r="H9" s="9"/>
      <c r="I9" s="9"/>
      <c r="J9" s="9"/>
      <c r="K9" s="7" t="s">
        <v>19</v>
      </c>
      <c r="L9" s="7" t="s">
        <v>32</v>
      </c>
    </row>
    <row r="10">
      <c r="A10" s="10"/>
      <c r="B10" s="9"/>
      <c r="C10" s="9"/>
      <c r="D10" s="9"/>
      <c r="E10" s="9"/>
      <c r="F10" s="9"/>
      <c r="G10" s="9"/>
      <c r="H10" s="9"/>
      <c r="I10" s="9"/>
      <c r="J10" s="9"/>
      <c r="K10" s="7" t="s">
        <v>21</v>
      </c>
      <c r="L10" s="7" t="s">
        <v>32</v>
      </c>
    </row>
    <row r="11">
      <c r="A11" s="5">
        <v>4.0</v>
      </c>
      <c r="B11" s="6" t="s">
        <v>33</v>
      </c>
      <c r="C11" s="5" t="s">
        <v>12</v>
      </c>
      <c r="D11" s="5">
        <v>1.0</v>
      </c>
      <c r="E11" s="5" t="s">
        <v>34</v>
      </c>
      <c r="F11" s="5" t="s">
        <v>14</v>
      </c>
      <c r="G11" s="5" t="s">
        <v>35</v>
      </c>
      <c r="H11" s="5" t="s">
        <v>36</v>
      </c>
      <c r="I11" s="5" t="s">
        <v>37</v>
      </c>
      <c r="J11" s="5">
        <v>8.13213135E9</v>
      </c>
      <c r="K11" s="7" t="s">
        <v>14</v>
      </c>
      <c r="L11" s="8" t="s">
        <v>38</v>
      </c>
    </row>
    <row r="12">
      <c r="A12" s="9"/>
      <c r="B12" s="9"/>
      <c r="C12" s="9"/>
      <c r="D12" s="9"/>
      <c r="E12" s="9"/>
      <c r="F12" s="9"/>
      <c r="G12" s="9"/>
      <c r="H12" s="9"/>
      <c r="I12" s="9"/>
      <c r="J12" s="9"/>
      <c r="K12" s="7" t="s">
        <v>19</v>
      </c>
      <c r="L12" s="8" t="s">
        <v>38</v>
      </c>
    </row>
    <row r="13">
      <c r="A13" s="10"/>
      <c r="B13" s="9"/>
      <c r="C13" s="9"/>
      <c r="D13" s="9"/>
      <c r="E13" s="9"/>
      <c r="F13" s="9"/>
      <c r="G13" s="9"/>
      <c r="H13" s="9"/>
      <c r="I13" s="9"/>
      <c r="J13" s="9"/>
      <c r="K13" s="7" t="s">
        <v>21</v>
      </c>
      <c r="L13" s="8" t="s">
        <v>39</v>
      </c>
    </row>
    <row r="14">
      <c r="A14" s="5">
        <v>5.0</v>
      </c>
      <c r="B14" s="6" t="s">
        <v>40</v>
      </c>
      <c r="C14" s="5" t="s">
        <v>12</v>
      </c>
      <c r="D14" s="5">
        <v>1.0</v>
      </c>
      <c r="E14" s="5" t="s">
        <v>34</v>
      </c>
      <c r="F14" s="5" t="s">
        <v>14</v>
      </c>
      <c r="G14" s="5" t="s">
        <v>41</v>
      </c>
      <c r="H14" s="5" t="s">
        <v>36</v>
      </c>
      <c r="I14" s="5" t="s">
        <v>37</v>
      </c>
      <c r="J14" s="5">
        <v>8.13213135E9</v>
      </c>
      <c r="K14" s="7" t="s">
        <v>14</v>
      </c>
      <c r="L14" s="8" t="s">
        <v>42</v>
      </c>
    </row>
    <row r="15">
      <c r="A15" s="9"/>
      <c r="B15" s="9"/>
      <c r="C15" s="9"/>
      <c r="D15" s="9"/>
      <c r="E15" s="9"/>
      <c r="F15" s="9"/>
      <c r="G15" s="9"/>
      <c r="H15" s="9"/>
      <c r="I15" s="9"/>
      <c r="J15" s="9"/>
      <c r="K15" s="7" t="s">
        <v>19</v>
      </c>
      <c r="L15" s="8" t="s">
        <v>42</v>
      </c>
    </row>
    <row r="16">
      <c r="A16" s="10"/>
      <c r="B16" s="9"/>
      <c r="C16" s="9"/>
      <c r="D16" s="9"/>
      <c r="E16" s="9"/>
      <c r="F16" s="9"/>
      <c r="G16" s="9"/>
      <c r="H16" s="9"/>
      <c r="I16" s="9"/>
      <c r="J16" s="9"/>
      <c r="K16" s="7" t="s">
        <v>21</v>
      </c>
      <c r="L16" s="8" t="s">
        <v>43</v>
      </c>
    </row>
    <row r="17">
      <c r="A17" s="5">
        <v>6.0</v>
      </c>
      <c r="B17" s="6" t="s">
        <v>44</v>
      </c>
      <c r="C17" s="5" t="s">
        <v>12</v>
      </c>
      <c r="D17" s="5">
        <v>1.0</v>
      </c>
      <c r="E17" s="5" t="s">
        <v>34</v>
      </c>
      <c r="F17" s="5" t="s">
        <v>14</v>
      </c>
      <c r="G17" s="5" t="s">
        <v>45</v>
      </c>
      <c r="H17" s="5" t="s">
        <v>36</v>
      </c>
      <c r="I17" s="5" t="s">
        <v>37</v>
      </c>
      <c r="J17" s="5">
        <v>8.13213135E9</v>
      </c>
      <c r="K17" s="7" t="s">
        <v>14</v>
      </c>
      <c r="L17" s="8" t="s">
        <v>42</v>
      </c>
    </row>
    <row r="18">
      <c r="A18" s="9"/>
      <c r="B18" s="9"/>
      <c r="C18" s="9"/>
      <c r="D18" s="9"/>
      <c r="E18" s="9"/>
      <c r="F18" s="9"/>
      <c r="G18" s="9"/>
      <c r="H18" s="9"/>
      <c r="I18" s="9"/>
      <c r="J18" s="9"/>
      <c r="K18" s="7" t="s">
        <v>19</v>
      </c>
      <c r="L18" s="8" t="s">
        <v>42</v>
      </c>
    </row>
    <row r="19">
      <c r="A19" s="10"/>
      <c r="B19" s="9"/>
      <c r="C19" s="9"/>
      <c r="D19" s="9"/>
      <c r="E19" s="9"/>
      <c r="F19" s="9"/>
      <c r="G19" s="9"/>
      <c r="H19" s="9"/>
      <c r="I19" s="9"/>
      <c r="J19" s="9"/>
      <c r="K19" s="7" t="s">
        <v>21</v>
      </c>
      <c r="L19" s="8" t="s">
        <v>43</v>
      </c>
    </row>
    <row r="20">
      <c r="A20" s="5">
        <v>7.0</v>
      </c>
      <c r="B20" s="6" t="s">
        <v>46</v>
      </c>
      <c r="C20" s="5" t="s">
        <v>12</v>
      </c>
      <c r="D20" s="5">
        <v>1.0</v>
      </c>
      <c r="E20" s="5" t="s">
        <v>34</v>
      </c>
      <c r="F20" s="5" t="s">
        <v>14</v>
      </c>
      <c r="G20" s="5" t="s">
        <v>47</v>
      </c>
      <c r="H20" s="5" t="s">
        <v>36</v>
      </c>
      <c r="I20" s="5" t="s">
        <v>37</v>
      </c>
      <c r="J20" s="5">
        <v>8.13213135E9</v>
      </c>
      <c r="K20" s="7" t="s">
        <v>14</v>
      </c>
      <c r="L20" s="8" t="s">
        <v>48</v>
      </c>
    </row>
    <row r="21">
      <c r="A21" s="9"/>
      <c r="B21" s="9"/>
      <c r="C21" s="9"/>
      <c r="D21" s="9"/>
      <c r="E21" s="9"/>
      <c r="F21" s="9"/>
      <c r="G21" s="9"/>
      <c r="H21" s="9"/>
      <c r="I21" s="9"/>
      <c r="J21" s="9"/>
      <c r="K21" s="7" t="s">
        <v>19</v>
      </c>
      <c r="L21" s="8" t="s">
        <v>39</v>
      </c>
    </row>
    <row r="22">
      <c r="A22" s="10"/>
      <c r="B22" s="9"/>
      <c r="C22" s="9"/>
      <c r="D22" s="9"/>
      <c r="E22" s="9"/>
      <c r="F22" s="9"/>
      <c r="G22" s="9"/>
      <c r="H22" s="9"/>
      <c r="I22" s="9"/>
      <c r="J22" s="9"/>
      <c r="K22" s="7" t="s">
        <v>21</v>
      </c>
      <c r="L22" s="8" t="s">
        <v>49</v>
      </c>
    </row>
    <row r="23">
      <c r="A23" s="5">
        <v>8.0</v>
      </c>
      <c r="B23" s="6" t="s">
        <v>50</v>
      </c>
      <c r="C23" s="5" t="s">
        <v>12</v>
      </c>
      <c r="D23" s="5">
        <v>1.0</v>
      </c>
      <c r="E23" s="5" t="s">
        <v>34</v>
      </c>
      <c r="F23" s="5" t="s">
        <v>14</v>
      </c>
      <c r="G23" s="5" t="s">
        <v>51</v>
      </c>
      <c r="H23" s="5" t="s">
        <v>36</v>
      </c>
      <c r="I23" s="5" t="s">
        <v>37</v>
      </c>
      <c r="J23" s="5">
        <v>8.13213135E9</v>
      </c>
      <c r="K23" s="7" t="s">
        <v>14</v>
      </c>
      <c r="L23" s="8" t="s">
        <v>42</v>
      </c>
    </row>
    <row r="24">
      <c r="A24" s="9"/>
      <c r="B24" s="9"/>
      <c r="C24" s="9"/>
      <c r="D24" s="9"/>
      <c r="E24" s="9"/>
      <c r="F24" s="9"/>
      <c r="G24" s="9"/>
      <c r="H24" s="9"/>
      <c r="I24" s="9"/>
      <c r="J24" s="9"/>
      <c r="K24" s="7" t="s">
        <v>19</v>
      </c>
      <c r="L24" s="8" t="s">
        <v>52</v>
      </c>
    </row>
    <row r="25">
      <c r="A25" s="10"/>
      <c r="B25" s="9"/>
      <c r="C25" s="9"/>
      <c r="D25" s="9"/>
      <c r="E25" s="9"/>
      <c r="F25" s="9"/>
      <c r="G25" s="9"/>
      <c r="H25" s="9"/>
      <c r="I25" s="9"/>
      <c r="J25" s="9"/>
      <c r="K25" s="7" t="s">
        <v>21</v>
      </c>
      <c r="L25" s="8" t="s">
        <v>53</v>
      </c>
    </row>
    <row r="26">
      <c r="A26" s="5">
        <v>9.0</v>
      </c>
      <c r="B26" s="6" t="s">
        <v>54</v>
      </c>
      <c r="C26" s="5" t="s">
        <v>12</v>
      </c>
      <c r="D26" s="5">
        <v>1.0</v>
      </c>
      <c r="E26" s="5" t="s">
        <v>34</v>
      </c>
      <c r="F26" s="5" t="s">
        <v>14</v>
      </c>
      <c r="G26" s="5" t="s">
        <v>55</v>
      </c>
      <c r="H26" s="5" t="s">
        <v>36</v>
      </c>
      <c r="I26" s="5" t="s">
        <v>37</v>
      </c>
      <c r="J26" s="5">
        <v>8.13213135E9</v>
      </c>
      <c r="K26" s="7" t="s">
        <v>14</v>
      </c>
      <c r="L26" s="8" t="s">
        <v>56</v>
      </c>
    </row>
    <row r="27">
      <c r="A27" s="9"/>
      <c r="B27" s="9"/>
      <c r="C27" s="9"/>
      <c r="D27" s="9"/>
      <c r="E27" s="9"/>
      <c r="F27" s="9"/>
      <c r="G27" s="9"/>
      <c r="H27" s="9"/>
      <c r="I27" s="9"/>
      <c r="J27" s="9"/>
      <c r="K27" s="7" t="s">
        <v>19</v>
      </c>
      <c r="L27" s="8" t="s">
        <v>56</v>
      </c>
    </row>
    <row r="28">
      <c r="A28" s="10"/>
      <c r="B28" s="9"/>
      <c r="C28" s="9"/>
      <c r="D28" s="9"/>
      <c r="E28" s="9"/>
      <c r="F28" s="9"/>
      <c r="G28" s="9"/>
      <c r="H28" s="9"/>
      <c r="I28" s="9"/>
      <c r="J28" s="9"/>
      <c r="K28" s="7" t="s">
        <v>21</v>
      </c>
      <c r="L28" s="8" t="s">
        <v>57</v>
      </c>
    </row>
    <row r="29">
      <c r="A29" s="5">
        <v>10.0</v>
      </c>
      <c r="B29" s="6" t="s">
        <v>58</v>
      </c>
      <c r="C29" s="5" t="s">
        <v>27</v>
      </c>
      <c r="D29" s="5">
        <v>1.0</v>
      </c>
      <c r="E29" s="5" t="s">
        <v>34</v>
      </c>
      <c r="F29" s="5" t="s">
        <v>14</v>
      </c>
      <c r="G29" s="5" t="s">
        <v>59</v>
      </c>
      <c r="H29" s="5" t="s">
        <v>60</v>
      </c>
      <c r="I29" s="5" t="s">
        <v>17</v>
      </c>
      <c r="J29" s="5">
        <v>8.5770028814E10</v>
      </c>
      <c r="K29" s="7" t="s">
        <v>14</v>
      </c>
      <c r="L29" s="8" t="s">
        <v>56</v>
      </c>
    </row>
    <row r="30">
      <c r="A30" s="9"/>
      <c r="B30" s="9"/>
      <c r="C30" s="9"/>
      <c r="D30" s="9"/>
      <c r="E30" s="9"/>
      <c r="F30" s="9"/>
      <c r="G30" s="9"/>
      <c r="H30" s="9"/>
      <c r="I30" s="9"/>
      <c r="J30" s="9"/>
      <c r="K30" s="7" t="s">
        <v>19</v>
      </c>
      <c r="L30" s="8" t="s">
        <v>56</v>
      </c>
    </row>
    <row r="31">
      <c r="A31" s="10"/>
      <c r="B31" s="9"/>
      <c r="C31" s="9"/>
      <c r="D31" s="9"/>
      <c r="E31" s="9"/>
      <c r="F31" s="9"/>
      <c r="G31" s="9"/>
      <c r="H31" s="9"/>
      <c r="I31" s="9"/>
      <c r="J31" s="9"/>
      <c r="K31" s="7" t="s">
        <v>21</v>
      </c>
      <c r="L31" s="8" t="s">
        <v>57</v>
      </c>
    </row>
    <row r="32">
      <c r="A32" s="5">
        <v>11.0</v>
      </c>
      <c r="B32" s="6" t="s">
        <v>61</v>
      </c>
      <c r="C32" s="5" t="s">
        <v>62</v>
      </c>
      <c r="D32" s="5">
        <v>2.0</v>
      </c>
      <c r="E32" s="5" t="s">
        <v>63</v>
      </c>
      <c r="F32" s="5" t="s">
        <v>14</v>
      </c>
      <c r="G32" s="5" t="s">
        <v>64</v>
      </c>
      <c r="H32" s="5" t="s">
        <v>60</v>
      </c>
      <c r="I32" s="5" t="s">
        <v>17</v>
      </c>
      <c r="J32" s="5">
        <v>8.2246769579E10</v>
      </c>
      <c r="K32" s="7" t="s">
        <v>14</v>
      </c>
      <c r="L32" s="8" t="s">
        <v>65</v>
      </c>
    </row>
    <row r="33">
      <c r="A33" s="9"/>
      <c r="B33" s="9"/>
      <c r="C33" s="9"/>
      <c r="D33" s="9"/>
      <c r="E33" s="9"/>
      <c r="F33" s="9"/>
      <c r="G33" s="9"/>
      <c r="H33" s="9"/>
      <c r="I33" s="9"/>
      <c r="J33" s="9"/>
      <c r="K33" s="7" t="s">
        <v>19</v>
      </c>
      <c r="L33" s="8" t="s">
        <v>65</v>
      </c>
    </row>
    <row r="34">
      <c r="A34" s="10"/>
      <c r="B34" s="9"/>
      <c r="C34" s="9"/>
      <c r="D34" s="9"/>
      <c r="E34" s="9"/>
      <c r="F34" s="9"/>
      <c r="G34" s="9"/>
      <c r="H34" s="9"/>
      <c r="I34" s="9"/>
      <c r="J34" s="9"/>
      <c r="K34" s="7" t="s">
        <v>21</v>
      </c>
      <c r="L34" s="8" t="s">
        <v>66</v>
      </c>
    </row>
    <row r="35">
      <c r="A35" s="5">
        <v>12.0</v>
      </c>
      <c r="B35" s="6" t="s">
        <v>67</v>
      </c>
      <c r="C35" s="5" t="s">
        <v>12</v>
      </c>
      <c r="D35" s="5">
        <v>3.0</v>
      </c>
      <c r="E35" s="5" t="s">
        <v>68</v>
      </c>
      <c r="F35" s="5" t="s">
        <v>14</v>
      </c>
      <c r="G35" s="5" t="s">
        <v>69</v>
      </c>
      <c r="H35" s="5" t="s">
        <v>70</v>
      </c>
      <c r="I35" s="5" t="s">
        <v>71</v>
      </c>
      <c r="J35" s="5">
        <v>8.9658881718E10</v>
      </c>
      <c r="K35" s="7" t="s">
        <v>14</v>
      </c>
      <c r="L35" s="8" t="s">
        <v>72</v>
      </c>
    </row>
    <row r="36">
      <c r="A36" s="9"/>
      <c r="B36" s="9"/>
      <c r="C36" s="9"/>
      <c r="D36" s="9"/>
      <c r="E36" s="9"/>
      <c r="F36" s="9"/>
      <c r="G36" s="9"/>
      <c r="H36" s="9"/>
      <c r="I36" s="9"/>
      <c r="J36" s="9"/>
      <c r="K36" s="7" t="s">
        <v>19</v>
      </c>
      <c r="L36" s="8" t="s">
        <v>56</v>
      </c>
    </row>
    <row r="37">
      <c r="A37" s="10"/>
      <c r="B37" s="9"/>
      <c r="C37" s="9"/>
      <c r="D37" s="9"/>
      <c r="E37" s="9"/>
      <c r="F37" s="9"/>
      <c r="G37" s="9"/>
      <c r="H37" s="9"/>
      <c r="I37" s="9"/>
      <c r="J37" s="9"/>
      <c r="K37" s="7" t="s">
        <v>21</v>
      </c>
      <c r="L37" s="7" t="s">
        <v>32</v>
      </c>
    </row>
    <row r="38">
      <c r="A38" s="5">
        <v>13.0</v>
      </c>
      <c r="B38" s="6" t="s">
        <v>73</v>
      </c>
      <c r="C38" s="5" t="s">
        <v>12</v>
      </c>
      <c r="D38" s="5">
        <v>1.0</v>
      </c>
      <c r="E38" s="5" t="s">
        <v>28</v>
      </c>
      <c r="F38" s="5" t="s">
        <v>14</v>
      </c>
      <c r="G38" s="5" t="s">
        <v>74</v>
      </c>
      <c r="H38" s="5" t="s">
        <v>75</v>
      </c>
      <c r="I38" s="5" t="s">
        <v>76</v>
      </c>
      <c r="J38" s="5">
        <v>8.5176767622E10</v>
      </c>
      <c r="K38" s="7" t="s">
        <v>14</v>
      </c>
      <c r="L38" s="8" t="s">
        <v>39</v>
      </c>
    </row>
    <row r="39">
      <c r="A39" s="9"/>
      <c r="B39" s="9"/>
      <c r="C39" s="9"/>
      <c r="D39" s="9"/>
      <c r="E39" s="9"/>
      <c r="F39" s="9"/>
      <c r="G39" s="9"/>
      <c r="H39" s="9"/>
      <c r="I39" s="9"/>
      <c r="J39" s="9"/>
      <c r="K39" s="7" t="s">
        <v>19</v>
      </c>
      <c r="L39" s="8" t="s">
        <v>42</v>
      </c>
    </row>
    <row r="40">
      <c r="A40" s="10"/>
      <c r="B40" s="9"/>
      <c r="C40" s="9"/>
      <c r="D40" s="9"/>
      <c r="E40" s="9"/>
      <c r="F40" s="9"/>
      <c r="G40" s="9"/>
      <c r="H40" s="9"/>
      <c r="I40" s="9"/>
      <c r="J40" s="9"/>
      <c r="K40" s="7" t="s">
        <v>21</v>
      </c>
      <c r="L40" s="8" t="s">
        <v>77</v>
      </c>
    </row>
    <row r="41">
      <c r="A41" s="5">
        <v>14.0</v>
      </c>
      <c r="B41" s="6" t="s">
        <v>78</v>
      </c>
      <c r="C41" s="5" t="s">
        <v>24</v>
      </c>
      <c r="D41" s="5">
        <v>1.0</v>
      </c>
      <c r="E41" s="5" t="s">
        <v>28</v>
      </c>
      <c r="F41" s="5" t="s">
        <v>14</v>
      </c>
      <c r="G41" s="5">
        <v>2.206</v>
      </c>
      <c r="H41" s="5" t="s">
        <v>36</v>
      </c>
      <c r="I41" s="5" t="s">
        <v>79</v>
      </c>
      <c r="J41" s="5">
        <v>8.5163052571E10</v>
      </c>
      <c r="K41" s="7" t="s">
        <v>14</v>
      </c>
      <c r="L41" s="8">
        <v>500.0</v>
      </c>
    </row>
    <row r="42">
      <c r="A42" s="9"/>
      <c r="B42" s="9"/>
      <c r="C42" s="9"/>
      <c r="D42" s="9"/>
      <c r="E42" s="9"/>
      <c r="F42" s="9"/>
      <c r="G42" s="9"/>
      <c r="H42" s="9"/>
      <c r="I42" s="9"/>
      <c r="J42" s="9"/>
      <c r="K42" s="7" t="s">
        <v>19</v>
      </c>
      <c r="L42" s="7" t="s">
        <v>32</v>
      </c>
    </row>
    <row r="43">
      <c r="A43" s="10"/>
      <c r="B43" s="9"/>
      <c r="C43" s="9"/>
      <c r="D43" s="9"/>
      <c r="E43" s="9"/>
      <c r="F43" s="9"/>
      <c r="G43" s="9"/>
      <c r="H43" s="9"/>
      <c r="I43" s="9"/>
      <c r="J43" s="9"/>
      <c r="K43" s="7" t="s">
        <v>21</v>
      </c>
      <c r="L43" s="7" t="s">
        <v>32</v>
      </c>
    </row>
    <row r="44">
      <c r="A44" s="5">
        <v>15.0</v>
      </c>
      <c r="B44" s="6" t="s">
        <v>80</v>
      </c>
      <c r="C44" s="5" t="s">
        <v>27</v>
      </c>
      <c r="D44" s="5">
        <v>1.0</v>
      </c>
      <c r="E44" s="5" t="s">
        <v>28</v>
      </c>
      <c r="F44" s="5" t="s">
        <v>14</v>
      </c>
      <c r="G44" s="5" t="s">
        <v>81</v>
      </c>
      <c r="H44" s="5" t="s">
        <v>36</v>
      </c>
      <c r="I44" s="5" t="s">
        <v>82</v>
      </c>
      <c r="J44" s="13">
        <v>8.95398E16</v>
      </c>
      <c r="K44" s="7" t="s">
        <v>14</v>
      </c>
      <c r="L44" s="8" t="s">
        <v>83</v>
      </c>
    </row>
    <row r="45">
      <c r="A45" s="9"/>
      <c r="B45" s="9"/>
      <c r="C45" s="9"/>
      <c r="D45" s="9"/>
      <c r="E45" s="9"/>
      <c r="F45" s="9"/>
      <c r="G45" s="9"/>
      <c r="H45" s="9"/>
      <c r="I45" s="9"/>
      <c r="J45" s="9"/>
      <c r="K45" s="7" t="s">
        <v>19</v>
      </c>
      <c r="L45" s="8" t="s">
        <v>83</v>
      </c>
    </row>
    <row r="46">
      <c r="A46" s="10"/>
      <c r="B46" s="9"/>
      <c r="C46" s="9"/>
      <c r="D46" s="9"/>
      <c r="E46" s="9"/>
      <c r="F46" s="9"/>
      <c r="G46" s="9"/>
      <c r="H46" s="9"/>
      <c r="I46" s="9"/>
      <c r="J46" s="9"/>
      <c r="K46" s="7" t="s">
        <v>21</v>
      </c>
      <c r="L46" s="8" t="s">
        <v>84</v>
      </c>
    </row>
    <row r="47">
      <c r="A47" s="5">
        <v>16.0</v>
      </c>
      <c r="B47" s="6" t="s">
        <v>85</v>
      </c>
      <c r="C47" s="5" t="s">
        <v>12</v>
      </c>
      <c r="D47" s="5">
        <v>1.0</v>
      </c>
      <c r="E47" s="5" t="s">
        <v>28</v>
      </c>
      <c r="F47" s="5" t="s">
        <v>14</v>
      </c>
      <c r="G47" s="5" t="s">
        <v>86</v>
      </c>
      <c r="H47" s="5" t="s">
        <v>70</v>
      </c>
      <c r="I47" s="5" t="s">
        <v>87</v>
      </c>
      <c r="J47" s="5">
        <v>8.7887891999E10</v>
      </c>
      <c r="K47" s="7" t="s">
        <v>14</v>
      </c>
      <c r="L47" s="8" t="s">
        <v>88</v>
      </c>
    </row>
    <row r="48">
      <c r="A48" s="9"/>
      <c r="B48" s="9"/>
      <c r="C48" s="9"/>
      <c r="D48" s="9"/>
      <c r="E48" s="9"/>
      <c r="F48" s="9"/>
      <c r="G48" s="9"/>
      <c r="H48" s="9"/>
      <c r="I48" s="9"/>
      <c r="J48" s="9"/>
      <c r="K48" s="7" t="s">
        <v>19</v>
      </c>
      <c r="L48" s="8" t="s">
        <v>89</v>
      </c>
    </row>
    <row r="49">
      <c r="A49" s="10"/>
      <c r="B49" s="9"/>
      <c r="C49" s="9"/>
      <c r="D49" s="9"/>
      <c r="E49" s="9"/>
      <c r="F49" s="9"/>
      <c r="G49" s="9"/>
      <c r="H49" s="9"/>
      <c r="I49" s="9"/>
      <c r="J49" s="9"/>
      <c r="K49" s="7" t="s">
        <v>21</v>
      </c>
      <c r="L49" s="8" t="s">
        <v>53</v>
      </c>
    </row>
    <row r="50">
      <c r="A50" s="5">
        <v>17.0</v>
      </c>
      <c r="B50" s="6" t="s">
        <v>90</v>
      </c>
      <c r="C50" s="5" t="s">
        <v>24</v>
      </c>
      <c r="D50" s="5">
        <v>1.0</v>
      </c>
      <c r="E50" s="5" t="s">
        <v>28</v>
      </c>
      <c r="F50" s="5" t="s">
        <v>14</v>
      </c>
      <c r="G50" s="5" t="s">
        <v>91</v>
      </c>
      <c r="H50" s="5" t="s">
        <v>92</v>
      </c>
      <c r="I50" s="5" t="s">
        <v>93</v>
      </c>
      <c r="J50" s="5">
        <v>8.3879541738E10</v>
      </c>
      <c r="K50" s="7" t="s">
        <v>14</v>
      </c>
      <c r="L50" s="8" t="s">
        <v>53</v>
      </c>
    </row>
    <row r="51">
      <c r="A51" s="9"/>
      <c r="B51" s="9"/>
      <c r="C51" s="9"/>
      <c r="D51" s="9"/>
      <c r="E51" s="9"/>
      <c r="F51" s="9"/>
      <c r="G51" s="9"/>
      <c r="H51" s="9"/>
      <c r="I51" s="9"/>
      <c r="J51" s="9"/>
      <c r="K51" s="7" t="s">
        <v>19</v>
      </c>
      <c r="L51" s="8" t="s">
        <v>52</v>
      </c>
    </row>
    <row r="52">
      <c r="A52" s="10"/>
      <c r="B52" s="9"/>
      <c r="C52" s="9"/>
      <c r="D52" s="9"/>
      <c r="E52" s="9"/>
      <c r="F52" s="9"/>
      <c r="G52" s="9"/>
      <c r="H52" s="9"/>
      <c r="I52" s="9"/>
      <c r="J52" s="9"/>
      <c r="K52" s="7" t="s">
        <v>94</v>
      </c>
      <c r="L52" s="8" t="s">
        <v>42</v>
      </c>
    </row>
    <row r="53">
      <c r="A53" s="5">
        <v>18.0</v>
      </c>
      <c r="B53" s="6" t="s">
        <v>95</v>
      </c>
      <c r="C53" s="5" t="s">
        <v>24</v>
      </c>
      <c r="D53" s="5">
        <v>1.0</v>
      </c>
      <c r="E53" s="11"/>
      <c r="F53" s="5" t="s">
        <v>14</v>
      </c>
      <c r="G53" s="5" t="s">
        <v>96</v>
      </c>
      <c r="H53" s="5" t="s">
        <v>97</v>
      </c>
      <c r="I53" s="5" t="s">
        <v>98</v>
      </c>
      <c r="J53" s="5">
        <v>8.11851012E8</v>
      </c>
      <c r="K53" s="7" t="s">
        <v>14</v>
      </c>
      <c r="L53" s="12"/>
    </row>
    <row r="54">
      <c r="A54" s="9"/>
      <c r="B54" s="9"/>
      <c r="C54" s="9"/>
      <c r="D54" s="9"/>
      <c r="E54" s="9"/>
      <c r="F54" s="9"/>
      <c r="G54" s="9"/>
      <c r="H54" s="9"/>
      <c r="I54" s="9"/>
      <c r="J54" s="9"/>
      <c r="K54" s="7" t="s">
        <v>19</v>
      </c>
      <c r="L54" s="12"/>
    </row>
    <row r="55">
      <c r="A55" s="10"/>
      <c r="B55" s="9"/>
      <c r="C55" s="9"/>
      <c r="D55" s="9"/>
      <c r="E55" s="9"/>
      <c r="F55" s="9"/>
      <c r="G55" s="9"/>
      <c r="H55" s="9"/>
      <c r="I55" s="9"/>
      <c r="J55" s="9"/>
      <c r="K55" s="7" t="s">
        <v>21</v>
      </c>
      <c r="L55" s="12"/>
    </row>
    <row r="56">
      <c r="A56" s="5">
        <v>19.0</v>
      </c>
      <c r="B56" s="6" t="s">
        <v>99</v>
      </c>
      <c r="C56" s="5" t="s">
        <v>24</v>
      </c>
      <c r="D56" s="5">
        <v>1.0</v>
      </c>
      <c r="E56" s="5" t="s">
        <v>28</v>
      </c>
      <c r="F56" s="5" t="s">
        <v>14</v>
      </c>
      <c r="G56" s="14">
        <v>2871.0</v>
      </c>
      <c r="H56" s="5" t="s">
        <v>100</v>
      </c>
      <c r="I56" s="5" t="s">
        <v>101</v>
      </c>
      <c r="J56" s="5">
        <v>8.1806442893E10</v>
      </c>
      <c r="K56" s="7" t="s">
        <v>14</v>
      </c>
      <c r="L56" s="12"/>
    </row>
    <row r="57">
      <c r="A57" s="9"/>
      <c r="B57" s="9"/>
      <c r="C57" s="9"/>
      <c r="D57" s="9"/>
      <c r="E57" s="9"/>
      <c r="F57" s="9"/>
      <c r="G57" s="9"/>
      <c r="H57" s="9"/>
      <c r="I57" s="9"/>
      <c r="J57" s="9"/>
      <c r="K57" s="7" t="s">
        <v>19</v>
      </c>
      <c r="L57" s="8" t="s">
        <v>84</v>
      </c>
    </row>
    <row r="58">
      <c r="A58" s="10"/>
      <c r="B58" s="9"/>
      <c r="C58" s="9"/>
      <c r="D58" s="9"/>
      <c r="E58" s="9"/>
      <c r="F58" s="9"/>
      <c r="G58" s="9"/>
      <c r="H58" s="9"/>
      <c r="I58" s="9"/>
      <c r="J58" s="9"/>
      <c r="K58" s="7" t="s">
        <v>102</v>
      </c>
      <c r="L58" s="8" t="s">
        <v>65</v>
      </c>
    </row>
    <row r="59">
      <c r="A59" s="5">
        <v>20.0</v>
      </c>
      <c r="B59" s="6" t="s">
        <v>103</v>
      </c>
      <c r="C59" s="5" t="s">
        <v>27</v>
      </c>
      <c r="D59" s="5">
        <v>1.0</v>
      </c>
      <c r="E59" s="5" t="s">
        <v>28</v>
      </c>
      <c r="F59" s="5" t="s">
        <v>14</v>
      </c>
      <c r="G59" s="5" t="s">
        <v>104</v>
      </c>
      <c r="H59" s="5" t="s">
        <v>36</v>
      </c>
      <c r="I59" s="5" t="s">
        <v>105</v>
      </c>
      <c r="J59" s="5">
        <v>8.1818187388E10</v>
      </c>
      <c r="K59" s="7" t="s">
        <v>14</v>
      </c>
      <c r="L59" s="8" t="s">
        <v>39</v>
      </c>
    </row>
    <row r="60">
      <c r="A60" s="9"/>
      <c r="B60" s="9"/>
      <c r="C60" s="9"/>
      <c r="D60" s="9"/>
      <c r="E60" s="9"/>
      <c r="F60" s="9"/>
      <c r="G60" s="9"/>
      <c r="H60" s="9"/>
      <c r="I60" s="9"/>
      <c r="J60" s="9"/>
      <c r="K60" s="7" t="s">
        <v>19</v>
      </c>
      <c r="L60" s="8" t="s">
        <v>106</v>
      </c>
    </row>
    <row r="61">
      <c r="A61" s="10"/>
      <c r="B61" s="9"/>
      <c r="C61" s="9"/>
      <c r="D61" s="9"/>
      <c r="E61" s="9"/>
      <c r="F61" s="9"/>
      <c r="G61" s="9"/>
      <c r="H61" s="9"/>
      <c r="I61" s="9"/>
      <c r="J61" s="9"/>
      <c r="K61" s="7" t="s">
        <v>107</v>
      </c>
      <c r="L61" s="8" t="s">
        <v>108</v>
      </c>
    </row>
    <row r="62">
      <c r="A62" s="5">
        <v>21.0</v>
      </c>
      <c r="B62" s="6" t="s">
        <v>109</v>
      </c>
      <c r="C62" s="5" t="s">
        <v>110</v>
      </c>
      <c r="D62" s="5">
        <v>1.0</v>
      </c>
      <c r="E62" s="5" t="s">
        <v>28</v>
      </c>
      <c r="F62" s="5" t="s">
        <v>14</v>
      </c>
      <c r="G62" s="5" t="s">
        <v>111</v>
      </c>
      <c r="H62" s="5" t="s">
        <v>36</v>
      </c>
      <c r="I62" s="5" t="s">
        <v>105</v>
      </c>
      <c r="J62" s="5">
        <v>8.1818187388E10</v>
      </c>
      <c r="K62" s="7" t="s">
        <v>14</v>
      </c>
      <c r="L62" s="8" t="s">
        <v>112</v>
      </c>
    </row>
    <row r="63">
      <c r="A63" s="9"/>
      <c r="B63" s="9"/>
      <c r="C63" s="9"/>
      <c r="D63" s="9"/>
      <c r="E63" s="9"/>
      <c r="F63" s="9"/>
      <c r="G63" s="9"/>
      <c r="H63" s="9"/>
      <c r="I63" s="9"/>
      <c r="J63" s="9"/>
      <c r="K63" s="7" t="s">
        <v>19</v>
      </c>
      <c r="L63" s="8" t="s">
        <v>38</v>
      </c>
    </row>
    <row r="64">
      <c r="A64" s="10"/>
      <c r="B64" s="9"/>
      <c r="C64" s="9"/>
      <c r="D64" s="9"/>
      <c r="E64" s="9"/>
      <c r="F64" s="9"/>
      <c r="G64" s="9"/>
      <c r="H64" s="9"/>
      <c r="I64" s="9"/>
      <c r="J64" s="9"/>
      <c r="K64" s="7" t="s">
        <v>107</v>
      </c>
      <c r="L64" s="8" t="s">
        <v>108</v>
      </c>
    </row>
    <row r="65">
      <c r="A65" s="5">
        <v>22.0</v>
      </c>
      <c r="B65" s="6" t="s">
        <v>113</v>
      </c>
      <c r="C65" s="5" t="s">
        <v>110</v>
      </c>
      <c r="D65" s="5">
        <v>1.0</v>
      </c>
      <c r="E65" s="5" t="s">
        <v>114</v>
      </c>
      <c r="F65" s="5" t="s">
        <v>14</v>
      </c>
      <c r="G65" s="5" t="s">
        <v>115</v>
      </c>
      <c r="H65" s="5" t="s">
        <v>116</v>
      </c>
      <c r="I65" s="5" t="s">
        <v>117</v>
      </c>
      <c r="J65" s="5">
        <v>8.231001007E10</v>
      </c>
      <c r="K65" s="7" t="s">
        <v>14</v>
      </c>
      <c r="L65" s="8" t="s">
        <v>118</v>
      </c>
    </row>
    <row r="66">
      <c r="A66" s="9"/>
      <c r="B66" s="9"/>
      <c r="C66" s="9"/>
      <c r="D66" s="9"/>
      <c r="E66" s="9"/>
      <c r="F66" s="9"/>
      <c r="G66" s="9"/>
      <c r="H66" s="9"/>
      <c r="I66" s="9"/>
      <c r="J66" s="9"/>
      <c r="K66" s="7" t="s">
        <v>19</v>
      </c>
      <c r="L66" s="8" t="s">
        <v>119</v>
      </c>
    </row>
    <row r="67">
      <c r="A67" s="10"/>
      <c r="B67" s="9"/>
      <c r="C67" s="9"/>
      <c r="D67" s="9"/>
      <c r="E67" s="9"/>
      <c r="F67" s="9"/>
      <c r="G67" s="9"/>
      <c r="H67" s="9"/>
      <c r="I67" s="9"/>
      <c r="J67" s="9"/>
      <c r="K67" s="7" t="s">
        <v>21</v>
      </c>
      <c r="L67" s="8" t="s">
        <v>120</v>
      </c>
    </row>
    <row r="68">
      <c r="A68" s="5">
        <v>23.0</v>
      </c>
      <c r="B68" s="6" t="s">
        <v>121</v>
      </c>
      <c r="C68" s="5" t="s">
        <v>12</v>
      </c>
      <c r="D68" s="5">
        <v>1.0</v>
      </c>
      <c r="E68" s="5" t="s">
        <v>122</v>
      </c>
      <c r="F68" s="5" t="s">
        <v>14</v>
      </c>
      <c r="G68" s="5" t="s">
        <v>123</v>
      </c>
      <c r="H68" s="5" t="s">
        <v>116</v>
      </c>
      <c r="I68" s="5" t="s">
        <v>117</v>
      </c>
      <c r="J68" s="5">
        <v>8.231001007E10</v>
      </c>
      <c r="K68" s="7" t="s">
        <v>14</v>
      </c>
      <c r="L68" s="8" t="s">
        <v>124</v>
      </c>
    </row>
    <row r="69">
      <c r="A69" s="9"/>
      <c r="B69" s="9"/>
      <c r="C69" s="9"/>
      <c r="D69" s="9"/>
      <c r="E69" s="9"/>
      <c r="F69" s="9"/>
      <c r="G69" s="9"/>
      <c r="H69" s="9"/>
      <c r="I69" s="9"/>
      <c r="J69" s="9"/>
      <c r="K69" s="7" t="s">
        <v>19</v>
      </c>
      <c r="L69" s="8" t="s">
        <v>125</v>
      </c>
    </row>
    <row r="70">
      <c r="A70" s="10"/>
      <c r="B70" s="9"/>
      <c r="C70" s="9"/>
      <c r="D70" s="9"/>
      <c r="E70" s="9"/>
      <c r="F70" s="9"/>
      <c r="G70" s="9"/>
      <c r="H70" s="9"/>
      <c r="I70" s="9"/>
      <c r="J70" s="9"/>
      <c r="K70" s="7" t="s">
        <v>21</v>
      </c>
      <c r="L70" s="8" t="s">
        <v>126</v>
      </c>
    </row>
    <row r="71">
      <c r="A71" s="5">
        <v>24.0</v>
      </c>
      <c r="B71" s="6" t="s">
        <v>127</v>
      </c>
      <c r="C71" s="5" t="s">
        <v>12</v>
      </c>
      <c r="D71" s="5">
        <v>1.0</v>
      </c>
      <c r="E71" s="5" t="s">
        <v>28</v>
      </c>
      <c r="F71" s="5" t="s">
        <v>14</v>
      </c>
      <c r="G71" s="5" t="s">
        <v>128</v>
      </c>
      <c r="H71" s="5" t="s">
        <v>129</v>
      </c>
      <c r="I71" s="5" t="s">
        <v>117</v>
      </c>
      <c r="J71" s="5">
        <v>8.231001007E10</v>
      </c>
      <c r="K71" s="7" t="s">
        <v>14</v>
      </c>
      <c r="L71" s="8" t="s">
        <v>130</v>
      </c>
    </row>
    <row r="72">
      <c r="A72" s="9"/>
      <c r="B72" s="9"/>
      <c r="C72" s="9"/>
      <c r="D72" s="9"/>
      <c r="E72" s="9"/>
      <c r="F72" s="9"/>
      <c r="G72" s="9"/>
      <c r="H72" s="9"/>
      <c r="I72" s="9"/>
      <c r="J72" s="9"/>
      <c r="K72" s="7" t="s">
        <v>19</v>
      </c>
      <c r="L72" s="8" t="s">
        <v>57</v>
      </c>
    </row>
    <row r="73">
      <c r="A73" s="10"/>
      <c r="B73" s="9"/>
      <c r="C73" s="9"/>
      <c r="D73" s="9"/>
      <c r="E73" s="9"/>
      <c r="F73" s="9"/>
      <c r="G73" s="9"/>
      <c r="H73" s="9"/>
      <c r="I73" s="9"/>
      <c r="J73" s="9"/>
      <c r="K73" s="7" t="s">
        <v>21</v>
      </c>
      <c r="L73" s="8" t="s">
        <v>126</v>
      </c>
    </row>
    <row r="74">
      <c r="A74" s="5">
        <v>25.0</v>
      </c>
      <c r="B74" s="6" t="s">
        <v>131</v>
      </c>
      <c r="C74" s="5" t="s">
        <v>27</v>
      </c>
      <c r="D74" s="5">
        <v>1.0</v>
      </c>
      <c r="E74" s="5" t="s">
        <v>122</v>
      </c>
      <c r="F74" s="5" t="s">
        <v>14</v>
      </c>
      <c r="G74" s="5" t="s">
        <v>132</v>
      </c>
      <c r="H74" s="5" t="s">
        <v>129</v>
      </c>
      <c r="I74" s="5" t="s">
        <v>117</v>
      </c>
      <c r="J74" s="5">
        <v>8.231001007E10</v>
      </c>
      <c r="K74" s="7" t="s">
        <v>14</v>
      </c>
      <c r="L74" s="8" t="s">
        <v>22</v>
      </c>
    </row>
    <row r="75">
      <c r="A75" s="9"/>
      <c r="B75" s="9"/>
      <c r="C75" s="9"/>
      <c r="D75" s="9"/>
      <c r="E75" s="9"/>
      <c r="F75" s="9"/>
      <c r="G75" s="9"/>
      <c r="H75" s="9"/>
      <c r="I75" s="9"/>
      <c r="J75" s="9"/>
      <c r="K75" s="7" t="s">
        <v>19</v>
      </c>
      <c r="L75" s="8" t="s">
        <v>133</v>
      </c>
    </row>
    <row r="76">
      <c r="A76" s="10"/>
      <c r="B76" s="9"/>
      <c r="C76" s="9"/>
      <c r="D76" s="9"/>
      <c r="E76" s="9"/>
      <c r="F76" s="9"/>
      <c r="G76" s="9"/>
      <c r="H76" s="9"/>
      <c r="I76" s="9"/>
      <c r="J76" s="9"/>
      <c r="K76" s="7" t="s">
        <v>21</v>
      </c>
      <c r="L76" s="8" t="s">
        <v>130</v>
      </c>
    </row>
    <row r="77">
      <c r="A77" s="5">
        <v>26.0</v>
      </c>
      <c r="B77" s="6" t="s">
        <v>134</v>
      </c>
      <c r="C77" s="5" t="s">
        <v>12</v>
      </c>
      <c r="D77" s="5">
        <v>1.0</v>
      </c>
      <c r="E77" s="5" t="s">
        <v>28</v>
      </c>
      <c r="F77" s="5" t="s">
        <v>14</v>
      </c>
      <c r="G77" s="5" t="s">
        <v>135</v>
      </c>
      <c r="H77" s="5" t="s">
        <v>70</v>
      </c>
      <c r="I77" s="5" t="s">
        <v>117</v>
      </c>
      <c r="J77" s="5">
        <v>8.231001007E10</v>
      </c>
      <c r="K77" s="7" t="s">
        <v>14</v>
      </c>
      <c r="L77" s="8" t="s">
        <v>136</v>
      </c>
    </row>
    <row r="78">
      <c r="A78" s="9"/>
      <c r="B78" s="9"/>
      <c r="C78" s="9"/>
      <c r="D78" s="9"/>
      <c r="E78" s="9"/>
      <c r="F78" s="9"/>
      <c r="G78" s="9"/>
      <c r="H78" s="9"/>
      <c r="I78" s="9"/>
      <c r="J78" s="9"/>
      <c r="K78" s="7" t="s">
        <v>19</v>
      </c>
      <c r="L78" s="8" t="s">
        <v>57</v>
      </c>
    </row>
    <row r="79">
      <c r="A79" s="10"/>
      <c r="B79" s="9"/>
      <c r="C79" s="9"/>
      <c r="D79" s="9"/>
      <c r="E79" s="9"/>
      <c r="F79" s="9"/>
      <c r="G79" s="9"/>
      <c r="H79" s="9"/>
      <c r="I79" s="9"/>
      <c r="J79" s="9"/>
      <c r="K79" s="7" t="s">
        <v>21</v>
      </c>
      <c r="L79" s="8" t="s">
        <v>43</v>
      </c>
    </row>
    <row r="80">
      <c r="A80" s="5">
        <v>27.0</v>
      </c>
      <c r="B80" s="6" t="s">
        <v>137</v>
      </c>
      <c r="C80" s="5" t="s">
        <v>12</v>
      </c>
      <c r="D80" s="5">
        <v>2.0</v>
      </c>
      <c r="E80" s="5" t="s">
        <v>138</v>
      </c>
      <c r="F80" s="5" t="s">
        <v>14</v>
      </c>
      <c r="G80" s="5" t="s">
        <v>139</v>
      </c>
      <c r="H80" s="5" t="s">
        <v>70</v>
      </c>
      <c r="I80" s="5" t="s">
        <v>117</v>
      </c>
      <c r="J80" s="5">
        <v>8.231001007E10</v>
      </c>
      <c r="K80" s="7" t="s">
        <v>14</v>
      </c>
      <c r="L80" s="8" t="s">
        <v>53</v>
      </c>
    </row>
    <row r="81">
      <c r="A81" s="9"/>
      <c r="B81" s="9"/>
      <c r="C81" s="9"/>
      <c r="D81" s="9"/>
      <c r="E81" s="9"/>
      <c r="F81" s="9"/>
      <c r="G81" s="9"/>
      <c r="H81" s="9"/>
      <c r="I81" s="9"/>
      <c r="J81" s="9"/>
      <c r="K81" s="7" t="s">
        <v>19</v>
      </c>
      <c r="L81" s="8" t="s">
        <v>133</v>
      </c>
    </row>
    <row r="82">
      <c r="A82" s="10"/>
      <c r="B82" s="9"/>
      <c r="C82" s="9"/>
      <c r="D82" s="9"/>
      <c r="E82" s="9"/>
      <c r="F82" s="9"/>
      <c r="G82" s="9"/>
      <c r="H82" s="9"/>
      <c r="I82" s="9"/>
      <c r="J82" s="9"/>
      <c r="K82" s="7" t="s">
        <v>21</v>
      </c>
      <c r="L82" s="8" t="s">
        <v>126</v>
      </c>
    </row>
    <row r="83">
      <c r="A83" s="5">
        <v>28.0</v>
      </c>
      <c r="B83" s="6" t="s">
        <v>140</v>
      </c>
      <c r="C83" s="5" t="s">
        <v>27</v>
      </c>
      <c r="D83" s="5">
        <v>1.0</v>
      </c>
      <c r="E83" s="5" t="s">
        <v>28</v>
      </c>
      <c r="F83" s="5" t="s">
        <v>14</v>
      </c>
      <c r="G83" s="5" t="s">
        <v>141</v>
      </c>
      <c r="H83" s="5" t="s">
        <v>142</v>
      </c>
      <c r="I83" s="5" t="s">
        <v>117</v>
      </c>
      <c r="J83" s="5">
        <v>8.231001007E10</v>
      </c>
      <c r="K83" s="7" t="s">
        <v>14</v>
      </c>
      <c r="L83" s="8" t="s">
        <v>130</v>
      </c>
    </row>
    <row r="84">
      <c r="A84" s="9"/>
      <c r="B84" s="9"/>
      <c r="C84" s="9"/>
      <c r="D84" s="9"/>
      <c r="E84" s="9"/>
      <c r="F84" s="9"/>
      <c r="G84" s="9"/>
      <c r="H84" s="9"/>
      <c r="I84" s="9"/>
      <c r="J84" s="9"/>
      <c r="K84" s="7" t="s">
        <v>19</v>
      </c>
      <c r="L84" s="8" t="s">
        <v>143</v>
      </c>
    </row>
    <row r="85">
      <c r="A85" s="10"/>
      <c r="B85" s="9"/>
      <c r="C85" s="9"/>
      <c r="D85" s="9"/>
      <c r="E85" s="9"/>
      <c r="F85" s="9"/>
      <c r="G85" s="9"/>
      <c r="H85" s="9"/>
      <c r="I85" s="9"/>
      <c r="J85" s="9"/>
      <c r="K85" s="7" t="s">
        <v>21</v>
      </c>
      <c r="L85" s="8" t="s">
        <v>56</v>
      </c>
    </row>
    <row r="86">
      <c r="A86" s="5">
        <v>29.0</v>
      </c>
      <c r="B86" s="6" t="s">
        <v>144</v>
      </c>
      <c r="C86" s="5" t="s">
        <v>12</v>
      </c>
      <c r="D86" s="5">
        <v>1.0</v>
      </c>
      <c r="E86" s="5" t="s">
        <v>28</v>
      </c>
      <c r="F86" s="5" t="s">
        <v>14</v>
      </c>
      <c r="G86" s="5" t="s">
        <v>145</v>
      </c>
      <c r="H86" s="5" t="s">
        <v>146</v>
      </c>
      <c r="I86" s="5" t="s">
        <v>117</v>
      </c>
      <c r="J86" s="5">
        <v>8.231001007E10</v>
      </c>
      <c r="K86" s="7" t="s">
        <v>14</v>
      </c>
      <c r="L86" s="8" t="s">
        <v>72</v>
      </c>
    </row>
    <row r="87">
      <c r="A87" s="9"/>
      <c r="B87" s="9"/>
      <c r="C87" s="9"/>
      <c r="D87" s="9"/>
      <c r="E87" s="9"/>
      <c r="F87" s="9"/>
      <c r="G87" s="9"/>
      <c r="H87" s="9"/>
      <c r="I87" s="9"/>
      <c r="J87" s="9"/>
      <c r="K87" s="7" t="s">
        <v>19</v>
      </c>
      <c r="L87" s="8" t="s">
        <v>53</v>
      </c>
    </row>
    <row r="88">
      <c r="A88" s="10"/>
      <c r="B88" s="9"/>
      <c r="C88" s="9"/>
      <c r="D88" s="9"/>
      <c r="E88" s="9"/>
      <c r="F88" s="9"/>
      <c r="G88" s="9"/>
      <c r="H88" s="9"/>
      <c r="I88" s="9"/>
      <c r="J88" s="9"/>
      <c r="K88" s="7" t="s">
        <v>21</v>
      </c>
      <c r="L88" s="8" t="s">
        <v>43</v>
      </c>
    </row>
    <row r="89">
      <c r="A89" s="5">
        <v>30.0</v>
      </c>
      <c r="B89" s="6" t="s">
        <v>147</v>
      </c>
      <c r="C89" s="5" t="s">
        <v>12</v>
      </c>
      <c r="D89" s="5">
        <v>1.0</v>
      </c>
      <c r="E89" s="5" t="s">
        <v>28</v>
      </c>
      <c r="F89" s="5" t="s">
        <v>14</v>
      </c>
      <c r="G89" s="5" t="s">
        <v>148</v>
      </c>
      <c r="H89" s="5" t="s">
        <v>70</v>
      </c>
      <c r="I89" s="5" t="s">
        <v>117</v>
      </c>
      <c r="J89" s="5">
        <v>8.231001007E10</v>
      </c>
      <c r="K89" s="7" t="s">
        <v>14</v>
      </c>
      <c r="L89" s="8" t="s">
        <v>136</v>
      </c>
    </row>
    <row r="90">
      <c r="A90" s="9"/>
      <c r="B90" s="9"/>
      <c r="C90" s="9"/>
      <c r="D90" s="9"/>
      <c r="E90" s="9"/>
      <c r="F90" s="9"/>
      <c r="G90" s="9"/>
      <c r="H90" s="9"/>
      <c r="I90" s="9"/>
      <c r="J90" s="9"/>
      <c r="K90" s="7" t="s">
        <v>19</v>
      </c>
      <c r="L90" s="8" t="s">
        <v>84</v>
      </c>
    </row>
    <row r="91">
      <c r="A91" s="10"/>
      <c r="B91" s="9"/>
      <c r="C91" s="9"/>
      <c r="D91" s="9"/>
      <c r="E91" s="9"/>
      <c r="F91" s="9"/>
      <c r="G91" s="9"/>
      <c r="H91" s="9"/>
      <c r="I91" s="9"/>
      <c r="J91" s="9"/>
      <c r="K91" s="7" t="s">
        <v>21</v>
      </c>
      <c r="L91" s="8" t="s">
        <v>126</v>
      </c>
    </row>
    <row r="92">
      <c r="A92" s="5">
        <v>31.0</v>
      </c>
      <c r="B92" s="6" t="s">
        <v>149</v>
      </c>
      <c r="C92" s="5" t="s">
        <v>12</v>
      </c>
      <c r="D92" s="5">
        <v>1.0</v>
      </c>
      <c r="E92" s="5" t="s">
        <v>28</v>
      </c>
      <c r="F92" s="5" t="s">
        <v>14</v>
      </c>
      <c r="G92" s="5" t="s">
        <v>150</v>
      </c>
      <c r="H92" s="5" t="s">
        <v>142</v>
      </c>
      <c r="I92" s="5" t="s">
        <v>117</v>
      </c>
      <c r="J92" s="5">
        <v>8.231001007E10</v>
      </c>
      <c r="K92" s="7" t="s">
        <v>14</v>
      </c>
      <c r="L92" s="8" t="s">
        <v>53</v>
      </c>
    </row>
    <row r="93">
      <c r="A93" s="9"/>
      <c r="B93" s="9"/>
      <c r="C93" s="9"/>
      <c r="D93" s="9"/>
      <c r="E93" s="9"/>
      <c r="F93" s="9"/>
      <c r="G93" s="9"/>
      <c r="H93" s="9"/>
      <c r="I93" s="9"/>
      <c r="J93" s="9"/>
      <c r="K93" s="7" t="s">
        <v>19</v>
      </c>
      <c r="L93" s="8" t="s">
        <v>133</v>
      </c>
    </row>
    <row r="94">
      <c r="A94" s="10"/>
      <c r="B94" s="9"/>
      <c r="C94" s="9"/>
      <c r="D94" s="9"/>
      <c r="E94" s="9"/>
      <c r="F94" s="9"/>
      <c r="G94" s="9"/>
      <c r="H94" s="9"/>
      <c r="I94" s="9"/>
      <c r="J94" s="9"/>
      <c r="K94" s="7" t="s">
        <v>21</v>
      </c>
      <c r="L94" s="8" t="s">
        <v>72</v>
      </c>
    </row>
    <row r="95">
      <c r="A95" s="5">
        <v>32.0</v>
      </c>
      <c r="B95" s="6" t="s">
        <v>151</v>
      </c>
      <c r="C95" s="5" t="s">
        <v>12</v>
      </c>
      <c r="D95" s="5">
        <v>1.0</v>
      </c>
      <c r="E95" s="5" t="s">
        <v>152</v>
      </c>
      <c r="F95" s="5" t="s">
        <v>14</v>
      </c>
      <c r="G95" s="5" t="s">
        <v>153</v>
      </c>
      <c r="H95" s="5" t="s">
        <v>142</v>
      </c>
      <c r="I95" s="5" t="s">
        <v>117</v>
      </c>
      <c r="J95" s="5">
        <v>8.231001007E10</v>
      </c>
      <c r="K95" s="7" t="s">
        <v>14</v>
      </c>
      <c r="L95" s="8" t="s">
        <v>143</v>
      </c>
    </row>
    <row r="96">
      <c r="A96" s="9"/>
      <c r="B96" s="9"/>
      <c r="C96" s="9"/>
      <c r="D96" s="9"/>
      <c r="E96" s="9"/>
      <c r="F96" s="9"/>
      <c r="G96" s="9"/>
      <c r="H96" s="9"/>
      <c r="I96" s="9"/>
      <c r="J96" s="9"/>
      <c r="K96" s="7" t="s">
        <v>19</v>
      </c>
      <c r="L96" s="8" t="s">
        <v>84</v>
      </c>
    </row>
    <row r="97">
      <c r="A97" s="10"/>
      <c r="B97" s="9"/>
      <c r="C97" s="9"/>
      <c r="D97" s="9"/>
      <c r="E97" s="9"/>
      <c r="F97" s="9"/>
      <c r="G97" s="9"/>
      <c r="H97" s="9"/>
      <c r="I97" s="9"/>
      <c r="J97" s="9"/>
      <c r="K97" s="7" t="s">
        <v>21</v>
      </c>
      <c r="L97" s="8" t="s">
        <v>72</v>
      </c>
    </row>
    <row r="98">
      <c r="A98" s="5">
        <v>33.0</v>
      </c>
      <c r="B98" s="6" t="s">
        <v>154</v>
      </c>
      <c r="C98" s="5" t="s">
        <v>12</v>
      </c>
      <c r="D98" s="5">
        <v>3.0</v>
      </c>
      <c r="E98" s="5" t="s">
        <v>155</v>
      </c>
      <c r="F98" s="5" t="s">
        <v>14</v>
      </c>
      <c r="G98" s="5" t="s">
        <v>156</v>
      </c>
      <c r="H98" s="5" t="s">
        <v>146</v>
      </c>
      <c r="I98" s="5" t="s">
        <v>117</v>
      </c>
      <c r="J98" s="5">
        <v>8.231001007E10</v>
      </c>
      <c r="K98" s="7" t="s">
        <v>14</v>
      </c>
      <c r="L98" s="8" t="s">
        <v>72</v>
      </c>
    </row>
    <row r="99">
      <c r="A99" s="9"/>
      <c r="B99" s="9"/>
      <c r="C99" s="9"/>
      <c r="D99" s="9"/>
      <c r="E99" s="9"/>
      <c r="F99" s="9"/>
      <c r="G99" s="9"/>
      <c r="H99" s="9"/>
      <c r="I99" s="9"/>
      <c r="J99" s="9"/>
      <c r="K99" s="7" t="s">
        <v>19</v>
      </c>
      <c r="L99" s="8" t="s">
        <v>53</v>
      </c>
    </row>
    <row r="100">
      <c r="A100" s="10"/>
      <c r="B100" s="9"/>
      <c r="C100" s="9"/>
      <c r="D100" s="9"/>
      <c r="E100" s="9"/>
      <c r="F100" s="9"/>
      <c r="G100" s="9"/>
      <c r="H100" s="9"/>
      <c r="I100" s="9"/>
      <c r="J100" s="9"/>
      <c r="K100" s="7" t="s">
        <v>21</v>
      </c>
      <c r="L100" s="8" t="s">
        <v>43</v>
      </c>
    </row>
    <row r="101">
      <c r="A101" s="5">
        <v>34.0</v>
      </c>
      <c r="B101" s="6" t="s">
        <v>157</v>
      </c>
      <c r="C101" s="5" t="s">
        <v>27</v>
      </c>
      <c r="D101" s="5">
        <v>1.0</v>
      </c>
      <c r="E101" s="5" t="s">
        <v>152</v>
      </c>
      <c r="F101" s="5" t="s">
        <v>14</v>
      </c>
      <c r="G101" s="5" t="s">
        <v>158</v>
      </c>
      <c r="H101" s="5" t="s">
        <v>142</v>
      </c>
      <c r="I101" s="5" t="s">
        <v>117</v>
      </c>
      <c r="J101" s="5">
        <v>8.231001007E10</v>
      </c>
      <c r="K101" s="7" t="s">
        <v>14</v>
      </c>
      <c r="L101" s="8" t="s">
        <v>83</v>
      </c>
    </row>
    <row r="102">
      <c r="A102" s="9"/>
      <c r="B102" s="9"/>
      <c r="C102" s="9"/>
      <c r="D102" s="9"/>
      <c r="E102" s="9"/>
      <c r="F102" s="9"/>
      <c r="G102" s="9"/>
      <c r="H102" s="9"/>
      <c r="I102" s="9"/>
      <c r="J102" s="9"/>
      <c r="K102" s="7" t="s">
        <v>19</v>
      </c>
      <c r="L102" s="8" t="s">
        <v>65</v>
      </c>
    </row>
    <row r="103">
      <c r="A103" s="10"/>
      <c r="B103" s="9"/>
      <c r="C103" s="9"/>
      <c r="D103" s="9"/>
      <c r="E103" s="9"/>
      <c r="F103" s="9"/>
      <c r="G103" s="9"/>
      <c r="H103" s="9"/>
      <c r="I103" s="9"/>
      <c r="J103" s="9"/>
      <c r="K103" s="7" t="s">
        <v>21</v>
      </c>
      <c r="L103" s="8" t="s">
        <v>22</v>
      </c>
    </row>
    <row r="104">
      <c r="A104" s="5">
        <v>35.0</v>
      </c>
      <c r="B104" s="6" t="s">
        <v>159</v>
      </c>
      <c r="C104" s="5" t="s">
        <v>12</v>
      </c>
      <c r="D104" s="5">
        <v>2.0</v>
      </c>
      <c r="E104" s="5" t="s">
        <v>138</v>
      </c>
      <c r="F104" s="5" t="s">
        <v>160</v>
      </c>
      <c r="G104" s="5" t="s">
        <v>161</v>
      </c>
      <c r="H104" s="5" t="s">
        <v>129</v>
      </c>
      <c r="I104" s="5" t="s">
        <v>117</v>
      </c>
      <c r="J104" s="5">
        <v>8.231001007E10</v>
      </c>
      <c r="K104" s="7" t="s">
        <v>162</v>
      </c>
      <c r="L104" s="8" t="s">
        <v>65</v>
      </c>
    </row>
    <row r="105">
      <c r="A105" s="9"/>
      <c r="B105" s="9"/>
      <c r="C105" s="9"/>
      <c r="D105" s="9"/>
      <c r="E105" s="9"/>
      <c r="F105" s="9"/>
      <c r="G105" s="9"/>
      <c r="H105" s="9"/>
      <c r="I105" s="9"/>
      <c r="J105" s="9"/>
      <c r="K105" s="7" t="s">
        <v>19</v>
      </c>
      <c r="L105" s="8" t="s">
        <v>22</v>
      </c>
    </row>
    <row r="106">
      <c r="A106" s="10"/>
      <c r="B106" s="9"/>
      <c r="C106" s="9"/>
      <c r="D106" s="9"/>
      <c r="E106" s="9"/>
      <c r="F106" s="9"/>
      <c r="G106" s="9"/>
      <c r="H106" s="9"/>
      <c r="I106" s="9"/>
      <c r="J106" s="9"/>
      <c r="K106" s="7" t="s">
        <v>163</v>
      </c>
      <c r="L106" s="8" t="s">
        <v>20</v>
      </c>
    </row>
    <row r="107">
      <c r="A107" s="5">
        <v>36.0</v>
      </c>
      <c r="B107" s="6" t="s">
        <v>164</v>
      </c>
      <c r="C107" s="5" t="s">
        <v>27</v>
      </c>
      <c r="D107" s="5">
        <v>1.0</v>
      </c>
      <c r="E107" s="5" t="s">
        <v>28</v>
      </c>
      <c r="F107" s="5" t="s">
        <v>160</v>
      </c>
      <c r="G107" s="5" t="s">
        <v>165</v>
      </c>
      <c r="H107" s="5" t="s">
        <v>129</v>
      </c>
      <c r="I107" s="5" t="s">
        <v>117</v>
      </c>
      <c r="J107" s="5">
        <v>8.231001007E10</v>
      </c>
      <c r="K107" s="7" t="s">
        <v>14</v>
      </c>
      <c r="L107" s="8" t="s">
        <v>65</v>
      </c>
    </row>
    <row r="108">
      <c r="A108" s="9"/>
      <c r="B108" s="9"/>
      <c r="C108" s="9"/>
      <c r="D108" s="9"/>
      <c r="E108" s="9"/>
      <c r="F108" s="9"/>
      <c r="G108" s="9"/>
      <c r="H108" s="9"/>
      <c r="I108" s="9"/>
      <c r="J108" s="9"/>
      <c r="K108" s="7" t="s">
        <v>19</v>
      </c>
      <c r="L108" s="8" t="s">
        <v>57</v>
      </c>
    </row>
    <row r="109">
      <c r="A109" s="10"/>
      <c r="B109" s="9"/>
      <c r="C109" s="9"/>
      <c r="D109" s="9"/>
      <c r="E109" s="9"/>
      <c r="F109" s="9"/>
      <c r="G109" s="9"/>
      <c r="H109" s="9"/>
      <c r="I109" s="9"/>
      <c r="J109" s="9"/>
      <c r="K109" s="7" t="s">
        <v>21</v>
      </c>
      <c r="L109" s="8" t="s">
        <v>143</v>
      </c>
    </row>
    <row r="110">
      <c r="A110" s="5">
        <v>37.0</v>
      </c>
      <c r="B110" s="6" t="s">
        <v>166</v>
      </c>
      <c r="C110" s="5" t="s">
        <v>27</v>
      </c>
      <c r="D110" s="5">
        <v>1.0</v>
      </c>
      <c r="E110" s="5" t="s">
        <v>28</v>
      </c>
      <c r="F110" s="5" t="s">
        <v>160</v>
      </c>
      <c r="G110" s="5" t="s">
        <v>167</v>
      </c>
      <c r="H110" s="5" t="s">
        <v>129</v>
      </c>
      <c r="I110" s="5" t="s">
        <v>117</v>
      </c>
      <c r="J110" s="5">
        <v>8.231001007E10</v>
      </c>
      <c r="K110" s="7" t="s">
        <v>162</v>
      </c>
      <c r="L110" s="8">
        <v>400.0</v>
      </c>
    </row>
    <row r="111">
      <c r="A111" s="9"/>
      <c r="B111" s="9"/>
      <c r="C111" s="9"/>
      <c r="D111" s="9"/>
      <c r="E111" s="9"/>
      <c r="F111" s="9"/>
      <c r="G111" s="9"/>
      <c r="H111" s="9"/>
      <c r="I111" s="9"/>
      <c r="J111" s="9"/>
      <c r="K111" s="7" t="s">
        <v>19</v>
      </c>
      <c r="L111" s="8">
        <v>600.0</v>
      </c>
    </row>
    <row r="112">
      <c r="A112" s="10"/>
      <c r="B112" s="9"/>
      <c r="C112" s="9"/>
      <c r="D112" s="9"/>
      <c r="E112" s="9"/>
      <c r="F112" s="9"/>
      <c r="G112" s="9"/>
      <c r="H112" s="9"/>
      <c r="I112" s="9"/>
      <c r="J112" s="9"/>
      <c r="K112" s="7" t="s">
        <v>163</v>
      </c>
      <c r="L112" s="8">
        <v>500.0</v>
      </c>
    </row>
    <row r="113">
      <c r="A113" s="5">
        <v>38.0</v>
      </c>
      <c r="B113" s="6" t="s">
        <v>168</v>
      </c>
      <c r="C113" s="5" t="s">
        <v>27</v>
      </c>
      <c r="D113" s="5">
        <v>1.0</v>
      </c>
      <c r="E113" s="5" t="s">
        <v>28</v>
      </c>
      <c r="F113" s="5" t="s">
        <v>14</v>
      </c>
      <c r="G113" s="5" t="s">
        <v>169</v>
      </c>
      <c r="H113" s="5" t="s">
        <v>142</v>
      </c>
      <c r="I113" s="5" t="s">
        <v>117</v>
      </c>
      <c r="J113" s="5">
        <v>8.231001007E10</v>
      </c>
      <c r="K113" s="7" t="s">
        <v>14</v>
      </c>
      <c r="L113" s="8" t="s">
        <v>83</v>
      </c>
    </row>
    <row r="114">
      <c r="A114" s="9"/>
      <c r="B114" s="9"/>
      <c r="C114" s="9"/>
      <c r="D114" s="9"/>
      <c r="E114" s="9"/>
      <c r="F114" s="9"/>
      <c r="G114" s="9"/>
      <c r="H114" s="9"/>
      <c r="I114" s="9"/>
      <c r="J114" s="9"/>
      <c r="K114" s="7" t="s">
        <v>19</v>
      </c>
      <c r="L114" s="7" t="s">
        <v>32</v>
      </c>
    </row>
    <row r="115">
      <c r="A115" s="10"/>
      <c r="B115" s="9"/>
      <c r="C115" s="9"/>
      <c r="D115" s="9"/>
      <c r="E115" s="9"/>
      <c r="F115" s="9"/>
      <c r="G115" s="9"/>
      <c r="H115" s="9"/>
      <c r="I115" s="9"/>
      <c r="J115" s="9"/>
      <c r="K115" s="7" t="s">
        <v>21</v>
      </c>
      <c r="L115" s="7" t="s">
        <v>32</v>
      </c>
    </row>
    <row r="116">
      <c r="A116" s="5">
        <v>39.0</v>
      </c>
      <c r="B116" s="6" t="s">
        <v>170</v>
      </c>
      <c r="C116" s="5" t="s">
        <v>27</v>
      </c>
      <c r="D116" s="5">
        <v>2.0</v>
      </c>
      <c r="E116" s="5" t="s">
        <v>171</v>
      </c>
      <c r="F116" s="5" t="s">
        <v>14</v>
      </c>
      <c r="G116" s="5" t="s">
        <v>172</v>
      </c>
      <c r="H116" s="5" t="s">
        <v>142</v>
      </c>
      <c r="I116" s="5" t="s">
        <v>117</v>
      </c>
      <c r="J116" s="5">
        <v>8.231001007E10</v>
      </c>
      <c r="K116" s="7" t="s">
        <v>14</v>
      </c>
      <c r="L116" s="8">
        <v>850.0</v>
      </c>
    </row>
    <row r="117">
      <c r="A117" s="9"/>
      <c r="B117" s="9"/>
      <c r="C117" s="9"/>
      <c r="D117" s="9"/>
      <c r="E117" s="9"/>
      <c r="F117" s="9"/>
      <c r="G117" s="9"/>
      <c r="H117" s="9"/>
      <c r="I117" s="9"/>
      <c r="J117" s="9"/>
      <c r="K117" s="7" t="s">
        <v>19</v>
      </c>
      <c r="L117" s="7" t="s">
        <v>32</v>
      </c>
    </row>
    <row r="118">
      <c r="A118" s="10"/>
      <c r="B118" s="9"/>
      <c r="C118" s="9"/>
      <c r="D118" s="9"/>
      <c r="E118" s="9"/>
      <c r="F118" s="9"/>
      <c r="G118" s="9"/>
      <c r="H118" s="9"/>
      <c r="I118" s="9"/>
      <c r="J118" s="9"/>
      <c r="K118" s="7" t="s">
        <v>21</v>
      </c>
      <c r="L118" s="7" t="s">
        <v>32</v>
      </c>
    </row>
    <row r="119">
      <c r="A119" s="5">
        <v>40.0</v>
      </c>
      <c r="B119" s="6" t="s">
        <v>173</v>
      </c>
      <c r="C119" s="5" t="s">
        <v>12</v>
      </c>
      <c r="D119" s="5">
        <v>2.0</v>
      </c>
      <c r="E119" s="5" t="s">
        <v>174</v>
      </c>
      <c r="F119" s="5" t="s">
        <v>14</v>
      </c>
      <c r="G119" s="5" t="s">
        <v>175</v>
      </c>
      <c r="H119" s="5" t="s">
        <v>129</v>
      </c>
      <c r="I119" s="5" t="s">
        <v>117</v>
      </c>
      <c r="J119" s="5">
        <v>8.231001007E10</v>
      </c>
      <c r="K119" s="7" t="s">
        <v>14</v>
      </c>
      <c r="L119" s="8" t="s">
        <v>124</v>
      </c>
    </row>
    <row r="120">
      <c r="A120" s="9"/>
      <c r="B120" s="9"/>
      <c r="C120" s="9"/>
      <c r="D120" s="9"/>
      <c r="E120" s="9"/>
      <c r="F120" s="9"/>
      <c r="G120" s="9"/>
      <c r="H120" s="9"/>
      <c r="I120" s="9"/>
      <c r="J120" s="9"/>
      <c r="K120" s="7" t="s">
        <v>19</v>
      </c>
      <c r="L120" s="8" t="s">
        <v>84</v>
      </c>
    </row>
    <row r="121">
      <c r="A121" s="10"/>
      <c r="B121" s="9"/>
      <c r="C121" s="9"/>
      <c r="D121" s="9"/>
      <c r="E121" s="9"/>
      <c r="F121" s="9"/>
      <c r="G121" s="9"/>
      <c r="H121" s="9"/>
      <c r="I121" s="9"/>
      <c r="J121" s="9"/>
      <c r="K121" s="7" t="s">
        <v>21</v>
      </c>
      <c r="L121" s="8" t="s">
        <v>136</v>
      </c>
    </row>
    <row r="122">
      <c r="A122" s="5">
        <v>41.0</v>
      </c>
      <c r="B122" s="6" t="s">
        <v>176</v>
      </c>
      <c r="C122" s="5" t="s">
        <v>27</v>
      </c>
      <c r="D122" s="5">
        <v>2.0</v>
      </c>
      <c r="E122" s="5" t="s">
        <v>177</v>
      </c>
      <c r="F122" s="5" t="s">
        <v>14</v>
      </c>
      <c r="G122" s="5" t="s">
        <v>178</v>
      </c>
      <c r="H122" s="5" t="s">
        <v>116</v>
      </c>
      <c r="I122" s="5" t="s">
        <v>117</v>
      </c>
      <c r="J122" s="5">
        <v>8.231001007E10</v>
      </c>
      <c r="K122" s="7" t="s">
        <v>14</v>
      </c>
      <c r="L122" s="8" t="s">
        <v>20</v>
      </c>
    </row>
    <row r="123">
      <c r="A123" s="9"/>
      <c r="B123" s="9"/>
      <c r="C123" s="9"/>
      <c r="D123" s="9"/>
      <c r="E123" s="9"/>
      <c r="F123" s="9"/>
      <c r="G123" s="9"/>
      <c r="H123" s="9"/>
      <c r="I123" s="9"/>
      <c r="J123" s="9"/>
      <c r="K123" s="7" t="s">
        <v>19</v>
      </c>
      <c r="L123" s="8" t="s">
        <v>83</v>
      </c>
    </row>
    <row r="124">
      <c r="A124" s="10"/>
      <c r="B124" s="9"/>
      <c r="C124" s="9"/>
      <c r="D124" s="9"/>
      <c r="E124" s="9"/>
      <c r="F124" s="9"/>
      <c r="G124" s="9"/>
      <c r="H124" s="9"/>
      <c r="I124" s="9"/>
      <c r="J124" s="9"/>
      <c r="K124" s="7" t="s">
        <v>21</v>
      </c>
      <c r="L124" s="8" t="s">
        <v>179</v>
      </c>
    </row>
    <row r="125">
      <c r="A125" s="5">
        <v>42.0</v>
      </c>
      <c r="B125" s="6" t="s">
        <v>180</v>
      </c>
      <c r="C125" s="5" t="s">
        <v>27</v>
      </c>
      <c r="D125" s="5">
        <v>2.0</v>
      </c>
      <c r="E125" s="5" t="s">
        <v>138</v>
      </c>
      <c r="F125" s="5" t="s">
        <v>14</v>
      </c>
      <c r="G125" s="5" t="s">
        <v>181</v>
      </c>
      <c r="H125" s="5" t="s">
        <v>142</v>
      </c>
      <c r="I125" s="5" t="s">
        <v>117</v>
      </c>
      <c r="J125" s="5">
        <v>8.231001007E10</v>
      </c>
      <c r="K125" s="7" t="s">
        <v>14</v>
      </c>
      <c r="L125" s="8">
        <v>900.0</v>
      </c>
    </row>
    <row r="126">
      <c r="A126" s="9"/>
      <c r="B126" s="9"/>
      <c r="C126" s="9"/>
      <c r="D126" s="9"/>
      <c r="E126" s="9"/>
      <c r="F126" s="9"/>
      <c r="G126" s="9"/>
      <c r="H126" s="9"/>
      <c r="I126" s="9"/>
      <c r="J126" s="9"/>
      <c r="K126" s="7" t="s">
        <v>19</v>
      </c>
      <c r="L126" s="8">
        <v>500.0</v>
      </c>
    </row>
    <row r="127">
      <c r="A127" s="10"/>
      <c r="B127" s="9"/>
      <c r="C127" s="9"/>
      <c r="D127" s="9"/>
      <c r="E127" s="9"/>
      <c r="F127" s="9"/>
      <c r="G127" s="9"/>
      <c r="H127" s="9"/>
      <c r="I127" s="9"/>
      <c r="J127" s="9"/>
      <c r="K127" s="7" t="s">
        <v>21</v>
      </c>
      <c r="L127" s="8" t="s">
        <v>65</v>
      </c>
    </row>
    <row r="128">
      <c r="A128" s="5">
        <v>43.0</v>
      </c>
      <c r="B128" s="6" t="s">
        <v>182</v>
      </c>
      <c r="C128" s="5" t="s">
        <v>27</v>
      </c>
      <c r="D128" s="5">
        <v>2.0</v>
      </c>
      <c r="E128" s="5" t="s">
        <v>177</v>
      </c>
      <c r="F128" s="5" t="s">
        <v>14</v>
      </c>
      <c r="G128" s="5" t="s">
        <v>183</v>
      </c>
      <c r="H128" s="5" t="s">
        <v>142</v>
      </c>
      <c r="I128" s="5" t="s">
        <v>117</v>
      </c>
      <c r="J128" s="5">
        <v>8.231001007E10</v>
      </c>
      <c r="K128" s="7" t="s">
        <v>14</v>
      </c>
      <c r="L128" s="8" t="s">
        <v>83</v>
      </c>
    </row>
    <row r="129">
      <c r="A129" s="9"/>
      <c r="B129" s="9"/>
      <c r="C129" s="9"/>
      <c r="D129" s="9"/>
      <c r="E129" s="9"/>
      <c r="F129" s="9"/>
      <c r="G129" s="9"/>
      <c r="H129" s="9"/>
      <c r="I129" s="9"/>
      <c r="J129" s="9"/>
      <c r="K129" s="7" t="s">
        <v>19</v>
      </c>
      <c r="L129" s="7" t="s">
        <v>32</v>
      </c>
    </row>
    <row r="130">
      <c r="A130" s="10"/>
      <c r="B130" s="9"/>
      <c r="C130" s="9"/>
      <c r="D130" s="9"/>
      <c r="E130" s="9"/>
      <c r="F130" s="9"/>
      <c r="G130" s="9"/>
      <c r="H130" s="9"/>
      <c r="I130" s="9"/>
      <c r="J130" s="9"/>
      <c r="K130" s="7" t="s">
        <v>21</v>
      </c>
      <c r="L130" s="7" t="s">
        <v>32</v>
      </c>
    </row>
    <row r="131">
      <c r="A131" s="5">
        <v>44.0</v>
      </c>
      <c r="B131" s="6" t="s">
        <v>184</v>
      </c>
      <c r="C131" s="5" t="s">
        <v>12</v>
      </c>
      <c r="D131" s="5">
        <v>2.0</v>
      </c>
      <c r="E131" s="5" t="s">
        <v>138</v>
      </c>
      <c r="F131" s="5" t="s">
        <v>14</v>
      </c>
      <c r="G131" s="5" t="s">
        <v>185</v>
      </c>
      <c r="H131" s="5" t="s">
        <v>142</v>
      </c>
      <c r="I131" s="5" t="s">
        <v>117</v>
      </c>
      <c r="J131" s="5">
        <v>8.231001007E10</v>
      </c>
      <c r="K131" s="7" t="s">
        <v>14</v>
      </c>
      <c r="L131" s="8" t="s">
        <v>53</v>
      </c>
    </row>
    <row r="132">
      <c r="A132" s="9"/>
      <c r="B132" s="9"/>
      <c r="C132" s="9"/>
      <c r="D132" s="9"/>
      <c r="E132" s="9"/>
      <c r="F132" s="9"/>
      <c r="G132" s="9"/>
      <c r="H132" s="9"/>
      <c r="I132" s="9"/>
      <c r="J132" s="9"/>
      <c r="K132" s="7" t="s">
        <v>19</v>
      </c>
      <c r="L132" s="8" t="s">
        <v>143</v>
      </c>
    </row>
    <row r="133">
      <c r="A133" s="10"/>
      <c r="B133" s="9"/>
      <c r="C133" s="9"/>
      <c r="D133" s="9"/>
      <c r="E133" s="9"/>
      <c r="F133" s="9"/>
      <c r="G133" s="9"/>
      <c r="H133" s="9"/>
      <c r="I133" s="9"/>
      <c r="J133" s="9"/>
      <c r="K133" s="7" t="s">
        <v>21</v>
      </c>
      <c r="L133" s="8" t="s">
        <v>43</v>
      </c>
    </row>
    <row r="134">
      <c r="A134" s="5">
        <v>45.0</v>
      </c>
      <c r="B134" s="6" t="s">
        <v>186</v>
      </c>
      <c r="C134" s="5" t="s">
        <v>27</v>
      </c>
      <c r="D134" s="5">
        <v>1.0</v>
      </c>
      <c r="E134" s="5" t="s">
        <v>187</v>
      </c>
      <c r="F134" s="5" t="s">
        <v>160</v>
      </c>
      <c r="G134" s="5" t="s">
        <v>188</v>
      </c>
      <c r="H134" s="5" t="s">
        <v>116</v>
      </c>
      <c r="I134" s="5" t="s">
        <v>117</v>
      </c>
      <c r="J134" s="5">
        <v>8.231001007E10</v>
      </c>
      <c r="K134" s="7" t="s">
        <v>189</v>
      </c>
      <c r="L134" s="8" t="s">
        <v>65</v>
      </c>
    </row>
    <row r="135">
      <c r="A135" s="9"/>
      <c r="B135" s="9"/>
      <c r="C135" s="9"/>
      <c r="D135" s="9"/>
      <c r="E135" s="9"/>
      <c r="F135" s="9"/>
      <c r="G135" s="9"/>
      <c r="H135" s="9"/>
      <c r="I135" s="9"/>
      <c r="J135" s="9"/>
      <c r="K135" s="7" t="s">
        <v>19</v>
      </c>
      <c r="L135" s="8" t="s">
        <v>22</v>
      </c>
    </row>
    <row r="136">
      <c r="A136" s="10"/>
      <c r="B136" s="9"/>
      <c r="C136" s="9"/>
      <c r="D136" s="9"/>
      <c r="E136" s="9"/>
      <c r="F136" s="9"/>
      <c r="G136" s="9"/>
      <c r="H136" s="9"/>
      <c r="I136" s="9"/>
      <c r="J136" s="9"/>
      <c r="K136" s="7" t="s">
        <v>190</v>
      </c>
      <c r="L136" s="8" t="s">
        <v>65</v>
      </c>
    </row>
    <row r="137">
      <c r="A137" s="5">
        <v>46.0</v>
      </c>
      <c r="B137" s="6" t="s">
        <v>191</v>
      </c>
      <c r="C137" s="5" t="s">
        <v>12</v>
      </c>
      <c r="D137" s="5">
        <v>2.0</v>
      </c>
      <c r="E137" s="5" t="s">
        <v>138</v>
      </c>
      <c r="F137" s="5" t="s">
        <v>14</v>
      </c>
      <c r="G137" s="5" t="s">
        <v>192</v>
      </c>
      <c r="H137" s="5" t="s">
        <v>142</v>
      </c>
      <c r="I137" s="5" t="s">
        <v>117</v>
      </c>
      <c r="J137" s="5">
        <v>8.231001007E10</v>
      </c>
      <c r="K137" s="7" t="s">
        <v>14</v>
      </c>
      <c r="L137" s="8" t="s">
        <v>193</v>
      </c>
    </row>
    <row r="138">
      <c r="A138" s="9"/>
      <c r="B138" s="9"/>
      <c r="C138" s="9"/>
      <c r="D138" s="9"/>
      <c r="E138" s="9"/>
      <c r="F138" s="9"/>
      <c r="G138" s="9"/>
      <c r="H138" s="9"/>
      <c r="I138" s="9"/>
      <c r="J138" s="9"/>
      <c r="K138" s="7" t="s">
        <v>19</v>
      </c>
      <c r="L138" s="8" t="s">
        <v>136</v>
      </c>
    </row>
    <row r="139">
      <c r="A139" s="10"/>
      <c r="B139" s="9"/>
      <c r="C139" s="9"/>
      <c r="D139" s="9"/>
      <c r="E139" s="9"/>
      <c r="F139" s="9"/>
      <c r="G139" s="9"/>
      <c r="H139" s="9"/>
      <c r="I139" s="9"/>
      <c r="J139" s="9"/>
      <c r="K139" s="7" t="s">
        <v>21</v>
      </c>
      <c r="L139" s="8" t="s">
        <v>52</v>
      </c>
    </row>
    <row r="140">
      <c r="A140" s="5">
        <v>47.0</v>
      </c>
      <c r="B140" s="6" t="s">
        <v>194</v>
      </c>
      <c r="C140" s="5" t="s">
        <v>12</v>
      </c>
      <c r="D140" s="5">
        <v>1.0</v>
      </c>
      <c r="E140" s="5" t="s">
        <v>13</v>
      </c>
      <c r="F140" s="5" t="s">
        <v>14</v>
      </c>
      <c r="G140" s="5" t="s">
        <v>195</v>
      </c>
      <c r="H140" s="5" t="s">
        <v>116</v>
      </c>
      <c r="I140" s="5" t="s">
        <v>117</v>
      </c>
      <c r="J140" s="5">
        <v>8.231001007E10</v>
      </c>
      <c r="K140" s="7" t="s">
        <v>14</v>
      </c>
      <c r="L140" s="8" t="s">
        <v>196</v>
      </c>
    </row>
    <row r="141">
      <c r="A141" s="9"/>
      <c r="B141" s="9"/>
      <c r="C141" s="9"/>
      <c r="D141" s="9"/>
      <c r="E141" s="9"/>
      <c r="F141" s="9"/>
      <c r="G141" s="9"/>
      <c r="H141" s="9"/>
      <c r="I141" s="9"/>
      <c r="J141" s="9"/>
      <c r="K141" s="7" t="s">
        <v>19</v>
      </c>
      <c r="L141" s="8" t="s">
        <v>197</v>
      </c>
    </row>
    <row r="142">
      <c r="A142" s="10"/>
      <c r="B142" s="9"/>
      <c r="C142" s="9"/>
      <c r="D142" s="9"/>
      <c r="E142" s="9"/>
      <c r="F142" s="9"/>
      <c r="G142" s="9"/>
      <c r="H142" s="9"/>
      <c r="I142" s="9"/>
      <c r="J142" s="9"/>
      <c r="K142" s="7" t="s">
        <v>21</v>
      </c>
      <c r="L142" s="8" t="s">
        <v>179</v>
      </c>
    </row>
    <row r="143">
      <c r="A143" s="5">
        <v>48.0</v>
      </c>
      <c r="B143" s="6" t="s">
        <v>198</v>
      </c>
      <c r="C143" s="5" t="s">
        <v>12</v>
      </c>
      <c r="D143" s="5">
        <v>1.0</v>
      </c>
      <c r="E143" s="5" t="s">
        <v>28</v>
      </c>
      <c r="F143" s="5" t="s">
        <v>14</v>
      </c>
      <c r="G143" s="5" t="s">
        <v>199</v>
      </c>
      <c r="H143" s="5" t="s">
        <v>129</v>
      </c>
      <c r="I143" s="5" t="s">
        <v>117</v>
      </c>
      <c r="J143" s="5">
        <v>8.231001007E10</v>
      </c>
      <c r="K143" s="7" t="s">
        <v>14</v>
      </c>
      <c r="L143" s="8" t="s">
        <v>83</v>
      </c>
    </row>
    <row r="144">
      <c r="A144" s="9"/>
      <c r="B144" s="9"/>
      <c r="C144" s="9"/>
      <c r="D144" s="9"/>
      <c r="E144" s="9"/>
      <c r="F144" s="9"/>
      <c r="G144" s="9"/>
      <c r="H144" s="9"/>
      <c r="I144" s="9"/>
      <c r="J144" s="9"/>
      <c r="K144" s="7" t="s">
        <v>19</v>
      </c>
      <c r="L144" s="8">
        <v>500.0</v>
      </c>
    </row>
    <row r="145">
      <c r="A145" s="10"/>
      <c r="B145" s="9"/>
      <c r="C145" s="9"/>
      <c r="D145" s="9"/>
      <c r="E145" s="9"/>
      <c r="F145" s="9"/>
      <c r="G145" s="9"/>
      <c r="H145" s="9"/>
      <c r="I145" s="9"/>
      <c r="J145" s="9"/>
      <c r="K145" s="7" t="s">
        <v>21</v>
      </c>
      <c r="L145" s="8" t="s">
        <v>196</v>
      </c>
    </row>
    <row r="146">
      <c r="A146" s="5">
        <v>49.0</v>
      </c>
      <c r="B146" s="6" t="s">
        <v>200</v>
      </c>
      <c r="C146" s="5" t="s">
        <v>12</v>
      </c>
      <c r="D146" s="5">
        <v>1.0</v>
      </c>
      <c r="E146" s="5" t="s">
        <v>122</v>
      </c>
      <c r="F146" s="5" t="s">
        <v>14</v>
      </c>
      <c r="G146" s="5" t="s">
        <v>201</v>
      </c>
      <c r="H146" s="5" t="s">
        <v>129</v>
      </c>
      <c r="I146" s="5" t="s">
        <v>117</v>
      </c>
      <c r="J146" s="5">
        <v>8.231001007E10</v>
      </c>
      <c r="K146" s="7" t="s">
        <v>14</v>
      </c>
      <c r="L146" s="8" t="s">
        <v>22</v>
      </c>
    </row>
    <row r="147">
      <c r="A147" s="9"/>
      <c r="B147" s="9"/>
      <c r="C147" s="9"/>
      <c r="D147" s="9"/>
      <c r="E147" s="9"/>
      <c r="F147" s="9"/>
      <c r="G147" s="9"/>
      <c r="H147" s="9"/>
      <c r="I147" s="9"/>
      <c r="J147" s="9"/>
      <c r="K147" s="7" t="s">
        <v>19</v>
      </c>
      <c r="L147" s="8" t="s">
        <v>53</v>
      </c>
    </row>
    <row r="148">
      <c r="A148" s="10"/>
      <c r="B148" s="9"/>
      <c r="C148" s="9"/>
      <c r="D148" s="9"/>
      <c r="E148" s="9"/>
      <c r="F148" s="9"/>
      <c r="G148" s="9"/>
      <c r="H148" s="9"/>
      <c r="I148" s="9"/>
      <c r="J148" s="9"/>
      <c r="K148" s="7" t="s">
        <v>21</v>
      </c>
      <c r="L148" s="8" t="s">
        <v>72</v>
      </c>
    </row>
    <row r="149">
      <c r="A149" s="5">
        <v>50.0</v>
      </c>
      <c r="B149" s="6" t="s">
        <v>202</v>
      </c>
      <c r="C149" s="5" t="s">
        <v>12</v>
      </c>
      <c r="D149" s="5">
        <v>1.0</v>
      </c>
      <c r="E149" s="5" t="s">
        <v>28</v>
      </c>
      <c r="F149" s="5" t="s">
        <v>14</v>
      </c>
      <c r="G149" s="5" t="s">
        <v>203</v>
      </c>
      <c r="H149" s="5" t="s">
        <v>116</v>
      </c>
      <c r="I149" s="5" t="s">
        <v>117</v>
      </c>
      <c r="J149" s="5">
        <v>8.231001007E10</v>
      </c>
      <c r="K149" s="7" t="s">
        <v>14</v>
      </c>
      <c r="L149" s="8" t="s">
        <v>126</v>
      </c>
    </row>
    <row r="150">
      <c r="A150" s="9"/>
      <c r="B150" s="9"/>
      <c r="C150" s="9"/>
      <c r="D150" s="9"/>
      <c r="E150" s="9"/>
      <c r="F150" s="9"/>
      <c r="G150" s="9"/>
      <c r="H150" s="9"/>
      <c r="I150" s="9"/>
      <c r="J150" s="9"/>
      <c r="K150" s="7" t="s">
        <v>19</v>
      </c>
      <c r="L150" s="8" t="s">
        <v>126</v>
      </c>
    </row>
    <row r="151">
      <c r="A151" s="10"/>
      <c r="B151" s="9"/>
      <c r="C151" s="9"/>
      <c r="D151" s="9"/>
      <c r="E151" s="9"/>
      <c r="F151" s="9"/>
      <c r="G151" s="9"/>
      <c r="H151" s="9"/>
      <c r="I151" s="9"/>
      <c r="J151" s="9"/>
      <c r="K151" s="7" t="s">
        <v>21</v>
      </c>
      <c r="L151" s="8" t="s">
        <v>204</v>
      </c>
    </row>
    <row r="152">
      <c r="A152" s="5">
        <v>51.0</v>
      </c>
      <c r="B152" s="6" t="s">
        <v>205</v>
      </c>
      <c r="C152" s="5" t="s">
        <v>27</v>
      </c>
      <c r="D152" s="5">
        <v>1.0</v>
      </c>
      <c r="E152" s="5" t="s">
        <v>28</v>
      </c>
      <c r="F152" s="5" t="s">
        <v>14</v>
      </c>
      <c r="G152" s="5" t="s">
        <v>206</v>
      </c>
      <c r="H152" s="5" t="s">
        <v>129</v>
      </c>
      <c r="I152" s="5" t="s">
        <v>117</v>
      </c>
      <c r="J152" s="5">
        <v>8.231001007E10</v>
      </c>
      <c r="K152" s="7" t="s">
        <v>14</v>
      </c>
      <c r="L152" s="8">
        <v>500.0</v>
      </c>
    </row>
    <row r="153">
      <c r="A153" s="9"/>
      <c r="B153" s="9"/>
      <c r="C153" s="9"/>
      <c r="D153" s="9"/>
      <c r="E153" s="9"/>
      <c r="F153" s="9"/>
      <c r="G153" s="9"/>
      <c r="H153" s="9"/>
      <c r="I153" s="9"/>
      <c r="J153" s="9"/>
      <c r="K153" s="7" t="s">
        <v>19</v>
      </c>
      <c r="L153" s="8" t="s">
        <v>18</v>
      </c>
    </row>
    <row r="154">
      <c r="A154" s="10"/>
      <c r="B154" s="9"/>
      <c r="C154" s="9"/>
      <c r="D154" s="9"/>
      <c r="E154" s="9"/>
      <c r="F154" s="9"/>
      <c r="G154" s="9"/>
      <c r="H154" s="9"/>
      <c r="I154" s="9"/>
      <c r="J154" s="9"/>
      <c r="K154" s="7" t="s">
        <v>21</v>
      </c>
      <c r="L154" s="8" t="s">
        <v>83</v>
      </c>
    </row>
    <row r="155">
      <c r="A155" s="5">
        <v>52.0</v>
      </c>
      <c r="B155" s="6" t="s">
        <v>207</v>
      </c>
      <c r="C155" s="5" t="s">
        <v>12</v>
      </c>
      <c r="D155" s="5">
        <v>1.0</v>
      </c>
      <c r="E155" s="5" t="s">
        <v>208</v>
      </c>
      <c r="F155" s="5" t="s">
        <v>14</v>
      </c>
      <c r="G155" s="5" t="s">
        <v>209</v>
      </c>
      <c r="H155" s="5" t="s">
        <v>116</v>
      </c>
      <c r="I155" s="5" t="s">
        <v>117</v>
      </c>
      <c r="J155" s="5">
        <v>8.231001007E10</v>
      </c>
      <c r="K155" s="7" t="s">
        <v>14</v>
      </c>
      <c r="L155" s="8" t="s">
        <v>53</v>
      </c>
    </row>
    <row r="156">
      <c r="A156" s="9"/>
      <c r="B156" s="9"/>
      <c r="C156" s="9"/>
      <c r="D156" s="9"/>
      <c r="E156" s="9"/>
      <c r="F156" s="9"/>
      <c r="G156" s="9"/>
      <c r="H156" s="9"/>
      <c r="I156" s="9"/>
      <c r="J156" s="9"/>
      <c r="K156" s="7" t="s">
        <v>19</v>
      </c>
      <c r="L156" s="7" t="s">
        <v>32</v>
      </c>
    </row>
    <row r="157">
      <c r="A157" s="10"/>
      <c r="B157" s="9"/>
      <c r="C157" s="9"/>
      <c r="D157" s="9"/>
      <c r="E157" s="9"/>
      <c r="F157" s="9"/>
      <c r="G157" s="9"/>
      <c r="H157" s="9"/>
      <c r="I157" s="9"/>
      <c r="J157" s="9"/>
      <c r="K157" s="7" t="s">
        <v>21</v>
      </c>
      <c r="L157" s="8" t="s">
        <v>210</v>
      </c>
    </row>
    <row r="158">
      <c r="A158" s="5">
        <v>53.0</v>
      </c>
      <c r="B158" s="6" t="s">
        <v>211</v>
      </c>
      <c r="C158" s="5" t="s">
        <v>110</v>
      </c>
      <c r="D158" s="5">
        <v>1.0</v>
      </c>
      <c r="E158" s="5" t="s">
        <v>212</v>
      </c>
      <c r="F158" s="5" t="s">
        <v>14</v>
      </c>
      <c r="G158" s="5" t="s">
        <v>213</v>
      </c>
      <c r="H158" s="5" t="s">
        <v>214</v>
      </c>
      <c r="I158" s="5" t="s">
        <v>215</v>
      </c>
      <c r="J158" s="5">
        <v>8.1330892016E10</v>
      </c>
      <c r="K158" s="7" t="s">
        <v>14</v>
      </c>
      <c r="L158" s="8" t="s">
        <v>216</v>
      </c>
    </row>
    <row r="159">
      <c r="A159" s="9"/>
      <c r="B159" s="9"/>
      <c r="C159" s="9"/>
      <c r="D159" s="9"/>
      <c r="E159" s="9"/>
      <c r="F159" s="9"/>
      <c r="G159" s="9"/>
      <c r="H159" s="9"/>
      <c r="I159" s="9"/>
      <c r="J159" s="9"/>
      <c r="K159" s="7" t="s">
        <v>19</v>
      </c>
      <c r="L159" s="15" t="s">
        <v>217</v>
      </c>
    </row>
    <row r="160">
      <c r="A160" s="10"/>
      <c r="B160" s="9"/>
      <c r="C160" s="9"/>
      <c r="D160" s="9"/>
      <c r="E160" s="9"/>
      <c r="F160" s="9"/>
      <c r="G160" s="9"/>
      <c r="H160" s="9"/>
      <c r="I160" s="9"/>
      <c r="J160" s="9"/>
      <c r="K160" s="7" t="s">
        <v>21</v>
      </c>
      <c r="L160" s="8" t="s">
        <v>218</v>
      </c>
    </row>
    <row r="161">
      <c r="A161" s="5">
        <v>54.0</v>
      </c>
      <c r="B161" s="6" t="s">
        <v>219</v>
      </c>
      <c r="C161" s="5" t="s">
        <v>110</v>
      </c>
      <c r="D161" s="5">
        <v>1.0</v>
      </c>
      <c r="E161" s="5" t="s">
        <v>212</v>
      </c>
      <c r="F161" s="5" t="s">
        <v>14</v>
      </c>
      <c r="G161" s="5" t="s">
        <v>220</v>
      </c>
      <c r="H161" s="5" t="s">
        <v>221</v>
      </c>
      <c r="I161" s="5" t="s">
        <v>215</v>
      </c>
      <c r="J161" s="5">
        <v>8.1330892016E10</v>
      </c>
      <c r="K161" s="7" t="s">
        <v>14</v>
      </c>
      <c r="L161" s="8" t="s">
        <v>52</v>
      </c>
    </row>
    <row r="162">
      <c r="A162" s="9"/>
      <c r="B162" s="9"/>
      <c r="C162" s="9"/>
      <c r="D162" s="9"/>
      <c r="E162" s="9"/>
      <c r="F162" s="9"/>
      <c r="G162" s="9"/>
      <c r="H162" s="9"/>
      <c r="I162" s="9"/>
      <c r="J162" s="9"/>
      <c r="K162" s="7" t="s">
        <v>19</v>
      </c>
      <c r="L162" s="8" t="s">
        <v>72</v>
      </c>
    </row>
    <row r="163">
      <c r="A163" s="10"/>
      <c r="B163" s="9"/>
      <c r="C163" s="9"/>
      <c r="D163" s="9"/>
      <c r="E163" s="9"/>
      <c r="F163" s="9"/>
      <c r="G163" s="9"/>
      <c r="H163" s="9"/>
      <c r="I163" s="9"/>
      <c r="J163" s="9"/>
      <c r="K163" s="7" t="s">
        <v>21</v>
      </c>
      <c r="L163" s="8" t="s">
        <v>222</v>
      </c>
    </row>
    <row r="164">
      <c r="A164" s="5">
        <v>55.0</v>
      </c>
      <c r="B164" s="6" t="s">
        <v>223</v>
      </c>
      <c r="C164" s="5" t="s">
        <v>12</v>
      </c>
      <c r="D164" s="5">
        <v>1.0</v>
      </c>
      <c r="E164" s="5" t="s">
        <v>212</v>
      </c>
      <c r="F164" s="5" t="s">
        <v>14</v>
      </c>
      <c r="G164" s="5" t="s">
        <v>224</v>
      </c>
      <c r="H164" s="5" t="s">
        <v>225</v>
      </c>
      <c r="I164" s="5" t="s">
        <v>215</v>
      </c>
      <c r="J164" s="5">
        <v>8.1330892016E10</v>
      </c>
      <c r="K164" s="7" t="s">
        <v>14</v>
      </c>
      <c r="L164" s="8" t="s">
        <v>136</v>
      </c>
    </row>
    <row r="165">
      <c r="A165" s="9"/>
      <c r="B165" s="9"/>
      <c r="C165" s="9"/>
      <c r="D165" s="9"/>
      <c r="E165" s="9"/>
      <c r="F165" s="9"/>
      <c r="G165" s="9"/>
      <c r="H165" s="9"/>
      <c r="I165" s="9"/>
      <c r="J165" s="9"/>
      <c r="K165" s="7" t="s">
        <v>19</v>
      </c>
      <c r="L165" s="8" t="s">
        <v>84</v>
      </c>
    </row>
    <row r="166">
      <c r="A166" s="10"/>
      <c r="B166" s="9"/>
      <c r="C166" s="9"/>
      <c r="D166" s="9"/>
      <c r="E166" s="9"/>
      <c r="F166" s="9"/>
      <c r="G166" s="9"/>
      <c r="H166" s="9"/>
      <c r="I166" s="9"/>
      <c r="J166" s="9"/>
      <c r="K166" s="7" t="s">
        <v>21</v>
      </c>
      <c r="L166" s="7" t="s">
        <v>32</v>
      </c>
    </row>
    <row r="167">
      <c r="A167" s="5">
        <v>56.0</v>
      </c>
      <c r="B167" s="6" t="s">
        <v>226</v>
      </c>
      <c r="C167" s="5" t="s">
        <v>27</v>
      </c>
      <c r="D167" s="5">
        <v>2.0</v>
      </c>
      <c r="E167" s="5" t="s">
        <v>227</v>
      </c>
      <c r="F167" s="5" t="s">
        <v>14</v>
      </c>
      <c r="G167" s="5" t="s">
        <v>228</v>
      </c>
      <c r="H167" s="5" t="s">
        <v>229</v>
      </c>
      <c r="I167" s="5" t="s">
        <v>14</v>
      </c>
      <c r="J167" s="5" t="s">
        <v>226</v>
      </c>
      <c r="K167" s="7" t="s">
        <v>14</v>
      </c>
      <c r="L167" s="8">
        <v>500.0</v>
      </c>
    </row>
    <row r="168">
      <c r="A168" s="9"/>
      <c r="B168" s="9"/>
      <c r="C168" s="9"/>
      <c r="D168" s="9"/>
      <c r="E168" s="9"/>
      <c r="F168" s="9"/>
      <c r="G168" s="9"/>
      <c r="H168" s="9"/>
      <c r="I168" s="9"/>
      <c r="J168" s="9"/>
      <c r="K168" s="7" t="s">
        <v>19</v>
      </c>
      <c r="L168" s="8">
        <v>500.0</v>
      </c>
    </row>
    <row r="169">
      <c r="A169" s="10"/>
      <c r="B169" s="9"/>
      <c r="C169" s="9"/>
      <c r="D169" s="9"/>
      <c r="E169" s="9"/>
      <c r="F169" s="9"/>
      <c r="G169" s="9"/>
      <c r="H169" s="9"/>
      <c r="I169" s="9"/>
      <c r="J169" s="9"/>
      <c r="K169" s="7" t="s">
        <v>190</v>
      </c>
      <c r="L169" s="8">
        <v>450.0</v>
      </c>
    </row>
    <row r="170">
      <c r="A170" s="5">
        <v>57.0</v>
      </c>
      <c r="B170" s="6" t="s">
        <v>230</v>
      </c>
      <c r="C170" s="5" t="s">
        <v>24</v>
      </c>
      <c r="D170" s="5">
        <v>1.0</v>
      </c>
      <c r="E170" s="5" t="s">
        <v>231</v>
      </c>
      <c r="F170" s="5" t="s">
        <v>14</v>
      </c>
      <c r="G170" s="14">
        <v>8091.0</v>
      </c>
      <c r="H170" s="5" t="s">
        <v>229</v>
      </c>
      <c r="I170" s="5" t="s">
        <v>14</v>
      </c>
      <c r="J170" s="5" t="s">
        <v>230</v>
      </c>
      <c r="K170" s="7" t="s">
        <v>14</v>
      </c>
      <c r="L170" s="8">
        <v>400.0</v>
      </c>
    </row>
    <row r="171">
      <c r="A171" s="9"/>
      <c r="B171" s="9"/>
      <c r="C171" s="9"/>
      <c r="D171" s="9"/>
      <c r="E171" s="9"/>
      <c r="F171" s="9"/>
      <c r="G171" s="9"/>
      <c r="H171" s="9"/>
      <c r="I171" s="9"/>
      <c r="J171" s="9"/>
      <c r="K171" s="7" t="s">
        <v>19</v>
      </c>
      <c r="L171" s="8">
        <v>400.0</v>
      </c>
    </row>
    <row r="172">
      <c r="A172" s="10"/>
      <c r="B172" s="9"/>
      <c r="C172" s="9"/>
      <c r="D172" s="9"/>
      <c r="E172" s="9"/>
      <c r="F172" s="9"/>
      <c r="G172" s="9"/>
      <c r="H172" s="9"/>
      <c r="I172" s="9"/>
      <c r="J172" s="9"/>
      <c r="K172" s="7" t="s">
        <v>21</v>
      </c>
      <c r="L172" s="8">
        <v>550.0</v>
      </c>
    </row>
    <row r="173">
      <c r="A173" s="5">
        <v>58.0</v>
      </c>
      <c r="B173" s="6" t="s">
        <v>232</v>
      </c>
      <c r="C173" s="5" t="s">
        <v>27</v>
      </c>
      <c r="D173" s="5">
        <v>1.0</v>
      </c>
      <c r="E173" s="5" t="s">
        <v>122</v>
      </c>
      <c r="F173" s="5" t="s">
        <v>14</v>
      </c>
      <c r="G173" s="5" t="s">
        <v>233</v>
      </c>
      <c r="H173" s="5" t="s">
        <v>234</v>
      </c>
      <c r="I173" s="5" t="s">
        <v>14</v>
      </c>
      <c r="J173" s="5" t="s">
        <v>232</v>
      </c>
      <c r="K173" s="7" t="s">
        <v>14</v>
      </c>
      <c r="L173" s="7" t="s">
        <v>32</v>
      </c>
    </row>
    <row r="174">
      <c r="A174" s="9"/>
      <c r="B174" s="9"/>
      <c r="C174" s="9"/>
      <c r="D174" s="9"/>
      <c r="E174" s="9"/>
      <c r="F174" s="9"/>
      <c r="G174" s="9"/>
      <c r="H174" s="9"/>
      <c r="I174" s="9"/>
      <c r="J174" s="9"/>
      <c r="K174" s="7" t="s">
        <v>19</v>
      </c>
      <c r="L174" s="7" t="s">
        <v>32</v>
      </c>
    </row>
    <row r="175">
      <c r="A175" s="10"/>
      <c r="B175" s="9"/>
      <c r="C175" s="9"/>
      <c r="D175" s="9"/>
      <c r="E175" s="9"/>
      <c r="F175" s="9"/>
      <c r="G175" s="9"/>
      <c r="H175" s="9"/>
      <c r="I175" s="9"/>
      <c r="J175" s="9"/>
      <c r="K175" s="7" t="s">
        <v>21</v>
      </c>
      <c r="L175" s="8">
        <v>750.0</v>
      </c>
    </row>
    <row r="176">
      <c r="A176" s="5">
        <v>59.0</v>
      </c>
      <c r="B176" s="6" t="s">
        <v>235</v>
      </c>
      <c r="C176" s="5" t="s">
        <v>24</v>
      </c>
      <c r="D176" s="5">
        <v>1.0</v>
      </c>
      <c r="E176" s="5" t="s">
        <v>28</v>
      </c>
      <c r="F176" s="5" t="s">
        <v>14</v>
      </c>
      <c r="G176" s="5">
        <v>6.857</v>
      </c>
      <c r="H176" s="5" t="s">
        <v>100</v>
      </c>
      <c r="I176" s="5" t="s">
        <v>14</v>
      </c>
      <c r="J176" s="5" t="s">
        <v>235</v>
      </c>
      <c r="K176" s="7" t="s">
        <v>14</v>
      </c>
      <c r="L176" s="8">
        <v>650.0</v>
      </c>
    </row>
    <row r="177">
      <c r="A177" s="9"/>
      <c r="B177" s="9"/>
      <c r="C177" s="9"/>
      <c r="D177" s="9"/>
      <c r="E177" s="9"/>
      <c r="F177" s="9"/>
      <c r="G177" s="9"/>
      <c r="H177" s="9"/>
      <c r="I177" s="9"/>
      <c r="J177" s="9"/>
      <c r="K177" s="7" t="s">
        <v>19</v>
      </c>
      <c r="L177" s="7" t="s">
        <v>32</v>
      </c>
    </row>
    <row r="178">
      <c r="A178" s="10"/>
      <c r="B178" s="9"/>
      <c r="C178" s="9"/>
      <c r="D178" s="9"/>
      <c r="E178" s="9"/>
      <c r="F178" s="9"/>
      <c r="G178" s="9"/>
      <c r="H178" s="9"/>
      <c r="I178" s="9"/>
      <c r="J178" s="9"/>
      <c r="K178" s="7" t="s">
        <v>21</v>
      </c>
      <c r="L178" s="7" t="s">
        <v>32</v>
      </c>
    </row>
    <row r="179">
      <c r="A179" s="5">
        <v>60.0</v>
      </c>
      <c r="B179" s="6" t="s">
        <v>236</v>
      </c>
      <c r="C179" s="5" t="s">
        <v>27</v>
      </c>
      <c r="D179" s="5">
        <v>1.0</v>
      </c>
      <c r="E179" s="5" t="s">
        <v>231</v>
      </c>
      <c r="F179" s="5" t="s">
        <v>14</v>
      </c>
      <c r="G179" s="5" t="s">
        <v>237</v>
      </c>
      <c r="H179" s="5" t="s">
        <v>229</v>
      </c>
      <c r="I179" s="5" t="s">
        <v>14</v>
      </c>
      <c r="J179" s="5" t="s">
        <v>236</v>
      </c>
      <c r="K179" s="7" t="s">
        <v>238</v>
      </c>
      <c r="L179" s="8">
        <v>850.0</v>
      </c>
    </row>
    <row r="180">
      <c r="A180" s="9"/>
      <c r="B180" s="9"/>
      <c r="C180" s="9"/>
      <c r="D180" s="9"/>
      <c r="E180" s="9"/>
      <c r="F180" s="9"/>
      <c r="G180" s="9"/>
      <c r="H180" s="9"/>
      <c r="I180" s="9"/>
      <c r="J180" s="9"/>
      <c r="K180" s="7" t="s">
        <v>239</v>
      </c>
      <c r="L180" s="8">
        <v>950.0</v>
      </c>
    </row>
    <row r="181">
      <c r="A181" s="10"/>
      <c r="B181" s="9"/>
      <c r="C181" s="9"/>
      <c r="D181" s="9"/>
      <c r="E181" s="9"/>
      <c r="F181" s="9"/>
      <c r="G181" s="9"/>
      <c r="H181" s="9"/>
      <c r="I181" s="9"/>
      <c r="J181" s="9"/>
      <c r="K181" s="7" t="s">
        <v>21</v>
      </c>
      <c r="L181" s="7" t="s">
        <v>32</v>
      </c>
    </row>
    <row r="182">
      <c r="A182" s="5">
        <v>61.0</v>
      </c>
      <c r="B182" s="6" t="s">
        <v>240</v>
      </c>
      <c r="C182" s="5" t="s">
        <v>24</v>
      </c>
      <c r="D182" s="5">
        <v>1.0</v>
      </c>
      <c r="E182" s="5" t="s">
        <v>28</v>
      </c>
      <c r="F182" s="5" t="s">
        <v>14</v>
      </c>
      <c r="G182" s="5">
        <v>3.157</v>
      </c>
      <c r="H182" s="5" t="s">
        <v>100</v>
      </c>
      <c r="I182" s="5" t="s">
        <v>14</v>
      </c>
      <c r="J182" s="5" t="s">
        <v>240</v>
      </c>
      <c r="K182" s="7" t="s">
        <v>14</v>
      </c>
      <c r="L182" s="8">
        <v>300.0</v>
      </c>
    </row>
    <row r="183">
      <c r="A183" s="9"/>
      <c r="B183" s="9"/>
      <c r="C183" s="9"/>
      <c r="D183" s="9"/>
      <c r="E183" s="9"/>
      <c r="F183" s="9"/>
      <c r="G183" s="9"/>
      <c r="H183" s="9"/>
      <c r="I183" s="9"/>
      <c r="J183" s="9"/>
      <c r="K183" s="7" t="s">
        <v>241</v>
      </c>
      <c r="L183" s="8">
        <v>300.0</v>
      </c>
    </row>
    <row r="184">
      <c r="A184" s="10"/>
      <c r="B184" s="9"/>
      <c r="C184" s="9"/>
      <c r="D184" s="9"/>
      <c r="E184" s="9"/>
      <c r="F184" s="9"/>
      <c r="G184" s="9"/>
      <c r="H184" s="9"/>
      <c r="I184" s="9"/>
      <c r="J184" s="9"/>
      <c r="K184" s="7" t="s">
        <v>242</v>
      </c>
      <c r="L184" s="8">
        <v>350.0</v>
      </c>
    </row>
    <row r="185">
      <c r="A185" s="5">
        <v>62.0</v>
      </c>
      <c r="B185" s="6" t="s">
        <v>243</v>
      </c>
      <c r="C185" s="5" t="s">
        <v>24</v>
      </c>
      <c r="D185" s="5">
        <v>1.0</v>
      </c>
      <c r="E185" s="5" t="s">
        <v>187</v>
      </c>
      <c r="F185" s="5" t="s">
        <v>14</v>
      </c>
      <c r="G185" s="5">
        <v>6.501</v>
      </c>
      <c r="H185" s="5" t="s">
        <v>244</v>
      </c>
      <c r="I185" s="5" t="s">
        <v>14</v>
      </c>
      <c r="J185" s="5" t="s">
        <v>243</v>
      </c>
      <c r="K185" s="7" t="s">
        <v>14</v>
      </c>
      <c r="L185" s="8">
        <v>500.0</v>
      </c>
    </row>
    <row r="186">
      <c r="A186" s="9"/>
      <c r="B186" s="9"/>
      <c r="C186" s="9"/>
      <c r="D186" s="9"/>
      <c r="E186" s="9"/>
      <c r="F186" s="9"/>
      <c r="G186" s="9"/>
      <c r="H186" s="9"/>
      <c r="I186" s="9"/>
      <c r="J186" s="9"/>
      <c r="K186" s="7" t="s">
        <v>245</v>
      </c>
      <c r="L186" s="8">
        <v>350.0</v>
      </c>
    </row>
    <row r="187">
      <c r="A187" s="10"/>
      <c r="B187" s="9"/>
      <c r="C187" s="9"/>
      <c r="D187" s="9"/>
      <c r="E187" s="9"/>
      <c r="F187" s="9"/>
      <c r="G187" s="9"/>
      <c r="H187" s="9"/>
      <c r="I187" s="9"/>
      <c r="J187" s="9"/>
      <c r="K187" s="16" t="s">
        <v>246</v>
      </c>
      <c r="L187" s="17">
        <v>100.0</v>
      </c>
    </row>
    <row r="188">
      <c r="A188" s="18">
        <v>63.0</v>
      </c>
      <c r="B188" s="6" t="s">
        <v>247</v>
      </c>
      <c r="C188" s="5" t="s">
        <v>27</v>
      </c>
      <c r="D188" s="5">
        <v>1.0</v>
      </c>
      <c r="E188" s="5" t="s">
        <v>28</v>
      </c>
      <c r="F188" s="5" t="s">
        <v>14</v>
      </c>
      <c r="G188" s="5" t="s">
        <v>248</v>
      </c>
      <c r="H188" s="5" t="s">
        <v>249</v>
      </c>
      <c r="I188" s="5" t="s">
        <v>105</v>
      </c>
      <c r="J188" s="5">
        <v>8.7819551208E10</v>
      </c>
      <c r="K188" s="7" t="s">
        <v>14</v>
      </c>
      <c r="L188" s="8">
        <v>400.0</v>
      </c>
    </row>
    <row r="189">
      <c r="A189" s="19"/>
      <c r="B189" s="9"/>
      <c r="C189" s="9"/>
      <c r="D189" s="9"/>
      <c r="E189" s="9"/>
      <c r="F189" s="9"/>
      <c r="G189" s="9"/>
      <c r="H189" s="9"/>
      <c r="I189" s="9"/>
      <c r="J189" s="9"/>
      <c r="K189" s="7" t="s">
        <v>19</v>
      </c>
      <c r="L189" s="7" t="s">
        <v>32</v>
      </c>
    </row>
    <row r="190">
      <c r="A190" s="20"/>
      <c r="B190" s="10"/>
      <c r="C190" s="9"/>
      <c r="D190" s="10"/>
      <c r="E190" s="10"/>
      <c r="F190" s="10"/>
      <c r="G190" s="10"/>
      <c r="H190" s="9"/>
      <c r="I190" s="10"/>
      <c r="J190" s="10"/>
      <c r="K190" s="7" t="s">
        <v>21</v>
      </c>
      <c r="L190" s="8">
        <v>500.0</v>
      </c>
    </row>
    <row r="191">
      <c r="A191" s="5">
        <v>64.0</v>
      </c>
      <c r="B191" s="6" t="s">
        <v>250</v>
      </c>
      <c r="C191" s="5" t="s">
        <v>24</v>
      </c>
      <c r="D191" s="5">
        <v>1.0</v>
      </c>
      <c r="E191" s="5" t="s">
        <v>122</v>
      </c>
      <c r="F191" s="5" t="s">
        <v>14</v>
      </c>
      <c r="G191" s="5">
        <v>1.33</v>
      </c>
      <c r="H191" s="5" t="s">
        <v>229</v>
      </c>
      <c r="I191" s="5" t="s">
        <v>251</v>
      </c>
      <c r="J191" s="5">
        <v>8.5886666063E10</v>
      </c>
      <c r="K191" s="7" t="s">
        <v>14</v>
      </c>
      <c r="L191" s="8">
        <v>600.0</v>
      </c>
    </row>
    <row r="192">
      <c r="A192" s="9"/>
      <c r="B192" s="9"/>
      <c r="C192" s="9"/>
      <c r="D192" s="9"/>
      <c r="E192" s="9"/>
      <c r="F192" s="9"/>
      <c r="G192" s="9"/>
      <c r="H192" s="9"/>
      <c r="I192" s="9"/>
      <c r="J192" s="9"/>
      <c r="K192" s="7" t="s">
        <v>19</v>
      </c>
      <c r="L192" s="7" t="s">
        <v>32</v>
      </c>
    </row>
    <row r="193">
      <c r="A193" s="10"/>
      <c r="B193" s="10"/>
      <c r="C193" s="9"/>
      <c r="D193" s="10"/>
      <c r="E193" s="10"/>
      <c r="F193" s="10"/>
      <c r="G193" s="10"/>
      <c r="H193" s="10"/>
      <c r="I193" s="10"/>
      <c r="J193" s="10"/>
      <c r="K193" s="7" t="s">
        <v>21</v>
      </c>
      <c r="L193" s="7" t="s">
        <v>32</v>
      </c>
    </row>
    <row r="194">
      <c r="A194" s="5">
        <v>65.0</v>
      </c>
      <c r="B194" s="6" t="s">
        <v>252</v>
      </c>
      <c r="C194" s="5" t="s">
        <v>24</v>
      </c>
      <c r="D194" s="5">
        <v>1.0</v>
      </c>
      <c r="E194" s="5" t="s">
        <v>28</v>
      </c>
      <c r="F194" s="5" t="s">
        <v>14</v>
      </c>
      <c r="G194" s="5">
        <v>6.467</v>
      </c>
      <c r="H194" s="5" t="s">
        <v>100</v>
      </c>
      <c r="I194" s="5" t="s">
        <v>253</v>
      </c>
      <c r="J194" s="5">
        <v>8.111128082E9</v>
      </c>
      <c r="K194" s="7" t="s">
        <v>14</v>
      </c>
      <c r="L194" s="8">
        <v>250.0</v>
      </c>
    </row>
    <row r="195">
      <c r="A195" s="9"/>
      <c r="B195" s="9"/>
      <c r="C195" s="9"/>
      <c r="D195" s="9"/>
      <c r="E195" s="9"/>
      <c r="F195" s="9"/>
      <c r="G195" s="9"/>
      <c r="H195" s="9"/>
      <c r="I195" s="9"/>
      <c r="J195" s="9"/>
      <c r="K195" s="7" t="s">
        <v>254</v>
      </c>
      <c r="L195" s="8">
        <v>250.0</v>
      </c>
    </row>
    <row r="196">
      <c r="A196" s="10"/>
      <c r="B196" s="10"/>
      <c r="C196" s="9"/>
      <c r="D196" s="10"/>
      <c r="E196" s="10"/>
      <c r="F196" s="10"/>
      <c r="G196" s="10"/>
      <c r="H196" s="10"/>
      <c r="I196" s="10"/>
      <c r="J196" s="10"/>
      <c r="K196" s="7" t="s">
        <v>255</v>
      </c>
      <c r="L196" s="7" t="s">
        <v>256</v>
      </c>
    </row>
    <row r="197">
      <c r="A197" s="5">
        <v>66.0</v>
      </c>
      <c r="B197" s="6" t="s">
        <v>257</v>
      </c>
      <c r="C197" s="5" t="s">
        <v>27</v>
      </c>
      <c r="D197" s="5">
        <v>1.0</v>
      </c>
      <c r="E197" s="5" t="s">
        <v>231</v>
      </c>
      <c r="F197" s="5" t="s">
        <v>14</v>
      </c>
      <c r="G197" s="5" t="s">
        <v>258</v>
      </c>
      <c r="H197" s="5" t="s">
        <v>259</v>
      </c>
      <c r="I197" s="5" t="s">
        <v>260</v>
      </c>
      <c r="J197" s="5">
        <v>8.7766027275E10</v>
      </c>
      <c r="K197" s="5" t="s">
        <v>261</v>
      </c>
      <c r="L197" s="5" t="s">
        <v>262</v>
      </c>
    </row>
    <row r="198">
      <c r="A198" s="9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</row>
    <row r="199">
      <c r="A199" s="10"/>
      <c r="B199" s="10"/>
      <c r="C199" s="9"/>
      <c r="D199" s="10"/>
      <c r="E199" s="10"/>
      <c r="F199" s="10"/>
      <c r="G199" s="10"/>
      <c r="H199" s="10"/>
      <c r="I199" s="10"/>
      <c r="J199" s="10"/>
      <c r="K199" s="9"/>
      <c r="L199" s="9"/>
    </row>
    <row r="200">
      <c r="A200" s="5">
        <v>67.0</v>
      </c>
      <c r="B200" s="6" t="s">
        <v>263</v>
      </c>
      <c r="C200" s="5" t="s">
        <v>24</v>
      </c>
      <c r="D200" s="5">
        <v>1.0</v>
      </c>
      <c r="E200" s="5" t="s">
        <v>264</v>
      </c>
      <c r="F200" s="5" t="s">
        <v>14</v>
      </c>
      <c r="G200" s="5">
        <v>2.31</v>
      </c>
      <c r="H200" s="5" t="s">
        <v>229</v>
      </c>
      <c r="I200" s="5" t="s">
        <v>265</v>
      </c>
      <c r="J200" s="21" t="s">
        <v>266</v>
      </c>
      <c r="K200" s="7" t="s">
        <v>14</v>
      </c>
      <c r="L200" s="8">
        <v>350.0</v>
      </c>
    </row>
    <row r="201">
      <c r="A201" s="9"/>
      <c r="B201" s="9"/>
      <c r="C201" s="9"/>
      <c r="D201" s="9"/>
      <c r="E201" s="9"/>
      <c r="F201" s="9"/>
      <c r="G201" s="9"/>
      <c r="H201" s="9"/>
      <c r="I201" s="9"/>
      <c r="J201" s="9"/>
      <c r="K201" s="7" t="s">
        <v>241</v>
      </c>
      <c r="L201" s="8">
        <v>525.0</v>
      </c>
    </row>
    <row r="202">
      <c r="A202" s="10"/>
      <c r="B202" s="10"/>
      <c r="C202" s="9"/>
      <c r="D202" s="10"/>
      <c r="E202" s="10"/>
      <c r="F202" s="10"/>
      <c r="G202" s="10"/>
      <c r="H202" s="10"/>
      <c r="I202" s="10"/>
      <c r="J202" s="10"/>
      <c r="K202" s="7" t="s">
        <v>267</v>
      </c>
      <c r="L202" s="8">
        <v>500.0</v>
      </c>
    </row>
    <row r="203">
      <c r="A203" s="5">
        <v>68.0</v>
      </c>
      <c r="B203" s="6" t="s">
        <v>268</v>
      </c>
      <c r="C203" s="5" t="s">
        <v>24</v>
      </c>
      <c r="D203" s="5">
        <v>1.0</v>
      </c>
      <c r="E203" s="5" t="s">
        <v>269</v>
      </c>
      <c r="F203" s="5" t="s">
        <v>14</v>
      </c>
      <c r="G203" s="5">
        <v>2.413</v>
      </c>
      <c r="H203" s="5" t="s">
        <v>100</v>
      </c>
      <c r="I203" s="5" t="s">
        <v>270</v>
      </c>
      <c r="J203" s="5">
        <v>8.1211806776E10</v>
      </c>
      <c r="K203" s="7" t="s">
        <v>14</v>
      </c>
      <c r="L203" s="8">
        <v>250.0</v>
      </c>
    </row>
    <row r="204">
      <c r="A204" s="9"/>
      <c r="B204" s="9"/>
      <c r="C204" s="9"/>
      <c r="D204" s="9"/>
      <c r="E204" s="9"/>
      <c r="F204" s="9"/>
      <c r="G204" s="9"/>
      <c r="H204" s="9"/>
      <c r="I204" s="9"/>
      <c r="J204" s="9"/>
      <c r="K204" s="7" t="s">
        <v>19</v>
      </c>
      <c r="L204" s="8">
        <v>250.0</v>
      </c>
    </row>
    <row r="205">
      <c r="A205" s="10"/>
      <c r="B205" s="10"/>
      <c r="C205" s="9"/>
      <c r="D205" s="10"/>
      <c r="E205" s="10"/>
      <c r="F205" s="10"/>
      <c r="G205" s="10"/>
      <c r="H205" s="10"/>
      <c r="I205" s="10"/>
      <c r="J205" s="10"/>
      <c r="K205" s="7" t="s">
        <v>254</v>
      </c>
      <c r="L205" s="8">
        <v>500.0</v>
      </c>
    </row>
    <row r="206">
      <c r="A206" s="5">
        <v>69.0</v>
      </c>
      <c r="B206" s="6" t="s">
        <v>271</v>
      </c>
      <c r="C206" s="5" t="s">
        <v>12</v>
      </c>
      <c r="D206" s="5">
        <v>2.0</v>
      </c>
      <c r="E206" s="5" t="s">
        <v>138</v>
      </c>
      <c r="F206" s="5" t="s">
        <v>14</v>
      </c>
      <c r="G206" s="5" t="s">
        <v>272</v>
      </c>
      <c r="H206" s="5" t="s">
        <v>273</v>
      </c>
      <c r="I206" s="5" t="s">
        <v>274</v>
      </c>
      <c r="J206" s="5">
        <v>8.1213285738E10</v>
      </c>
      <c r="K206" s="7" t="s">
        <v>14</v>
      </c>
      <c r="L206" s="8" t="s">
        <v>275</v>
      </c>
    </row>
    <row r="207">
      <c r="A207" s="9"/>
      <c r="B207" s="9"/>
      <c r="C207" s="9"/>
      <c r="D207" s="9"/>
      <c r="E207" s="9"/>
      <c r="F207" s="9"/>
      <c r="G207" s="9"/>
      <c r="H207" s="9"/>
      <c r="I207" s="9"/>
      <c r="J207" s="9"/>
      <c r="K207" s="7" t="s">
        <v>19</v>
      </c>
      <c r="L207" s="8">
        <v>800.0</v>
      </c>
    </row>
    <row r="208">
      <c r="A208" s="10"/>
      <c r="B208" s="10"/>
      <c r="C208" s="9"/>
      <c r="D208" s="10"/>
      <c r="E208" s="10"/>
      <c r="F208" s="10"/>
      <c r="G208" s="10"/>
      <c r="H208" s="10"/>
      <c r="I208" s="10"/>
      <c r="J208" s="10"/>
      <c r="K208" s="7" t="s">
        <v>21</v>
      </c>
      <c r="L208" s="8" t="s">
        <v>276</v>
      </c>
    </row>
    <row r="209">
      <c r="A209" s="5">
        <v>70.0</v>
      </c>
      <c r="B209" s="6" t="s">
        <v>277</v>
      </c>
      <c r="C209" s="5" t="s">
        <v>12</v>
      </c>
      <c r="D209" s="5">
        <v>3.0</v>
      </c>
      <c r="E209" s="5" t="s">
        <v>278</v>
      </c>
      <c r="F209" s="5" t="s">
        <v>14</v>
      </c>
      <c r="G209" s="5" t="s">
        <v>279</v>
      </c>
      <c r="H209" s="5" t="s">
        <v>142</v>
      </c>
      <c r="I209" s="5" t="s">
        <v>117</v>
      </c>
      <c r="J209" s="5">
        <v>8.231001007E10</v>
      </c>
      <c r="K209" s="7" t="s">
        <v>14</v>
      </c>
      <c r="L209" s="8" t="s">
        <v>133</v>
      </c>
    </row>
    <row r="210">
      <c r="A210" s="9"/>
      <c r="B210" s="9"/>
      <c r="C210" s="9"/>
      <c r="D210" s="9"/>
      <c r="E210" s="9"/>
      <c r="F210" s="9"/>
      <c r="G210" s="9"/>
      <c r="H210" s="9"/>
      <c r="I210" s="9"/>
      <c r="J210" s="9"/>
      <c r="K210" s="7" t="s">
        <v>19</v>
      </c>
      <c r="L210" s="8" t="s">
        <v>22</v>
      </c>
    </row>
    <row r="211">
      <c r="A211" s="9"/>
      <c r="B211" s="9"/>
      <c r="C211" s="9"/>
      <c r="D211" s="9"/>
      <c r="E211" s="9"/>
      <c r="F211" s="10"/>
      <c r="G211" s="9"/>
      <c r="H211" s="9"/>
      <c r="I211" s="9"/>
      <c r="J211" s="9"/>
      <c r="K211" s="7" t="s">
        <v>21</v>
      </c>
      <c r="L211" s="8" t="s">
        <v>130</v>
      </c>
    </row>
    <row r="212">
      <c r="A212" s="5">
        <v>71.0</v>
      </c>
      <c r="B212" s="6" t="s">
        <v>280</v>
      </c>
      <c r="C212" s="5" t="s">
        <v>12</v>
      </c>
      <c r="D212" s="5">
        <v>1.0</v>
      </c>
      <c r="E212" s="5" t="s">
        <v>28</v>
      </c>
      <c r="F212" s="5" t="s">
        <v>14</v>
      </c>
      <c r="G212" s="5" t="s">
        <v>281</v>
      </c>
      <c r="H212" s="5" t="s">
        <v>282</v>
      </c>
      <c r="I212" s="5" t="s">
        <v>117</v>
      </c>
      <c r="J212" s="5">
        <v>8.231001007E10</v>
      </c>
      <c r="K212" s="7" t="s">
        <v>14</v>
      </c>
      <c r="L212" s="8" t="s">
        <v>283</v>
      </c>
    </row>
    <row r="213">
      <c r="A213" s="9"/>
      <c r="B213" s="9"/>
      <c r="C213" s="9"/>
      <c r="D213" s="9"/>
      <c r="E213" s="9"/>
      <c r="F213" s="9"/>
      <c r="G213" s="9"/>
      <c r="H213" s="9"/>
      <c r="I213" s="9"/>
      <c r="J213" s="9"/>
      <c r="K213" s="7" t="s">
        <v>19</v>
      </c>
      <c r="L213" s="8" t="s">
        <v>283</v>
      </c>
    </row>
    <row r="214">
      <c r="A214" s="9"/>
      <c r="B214" s="9"/>
      <c r="C214" s="9"/>
      <c r="D214" s="9"/>
      <c r="E214" s="9"/>
      <c r="F214" s="10"/>
      <c r="G214" s="9"/>
      <c r="H214" s="9"/>
      <c r="I214" s="9"/>
      <c r="J214" s="9"/>
      <c r="K214" s="7" t="s">
        <v>21</v>
      </c>
      <c r="L214" s="8" t="s">
        <v>42</v>
      </c>
    </row>
    <row r="215">
      <c r="A215" s="5">
        <v>72.0</v>
      </c>
      <c r="B215" s="6" t="s">
        <v>284</v>
      </c>
      <c r="C215" s="5" t="s">
        <v>27</v>
      </c>
      <c r="D215" s="5">
        <v>1.0</v>
      </c>
      <c r="E215" s="5" t="s">
        <v>187</v>
      </c>
      <c r="F215" s="5" t="s">
        <v>160</v>
      </c>
      <c r="G215" s="5" t="s">
        <v>285</v>
      </c>
      <c r="H215" s="5" t="s">
        <v>116</v>
      </c>
      <c r="I215" s="5" t="s">
        <v>117</v>
      </c>
      <c r="J215" s="5">
        <v>8.231001007E10</v>
      </c>
      <c r="K215" s="7" t="s">
        <v>14</v>
      </c>
      <c r="L215" s="7" t="s">
        <v>32</v>
      </c>
    </row>
    <row r="216">
      <c r="A216" s="9"/>
      <c r="B216" s="9"/>
      <c r="C216" s="9"/>
      <c r="D216" s="9"/>
      <c r="E216" s="9"/>
      <c r="F216" s="9"/>
      <c r="G216" s="9"/>
      <c r="H216" s="9"/>
      <c r="I216" s="9"/>
      <c r="J216" s="9"/>
      <c r="K216" s="7" t="s">
        <v>19</v>
      </c>
      <c r="L216" s="8" t="s">
        <v>22</v>
      </c>
    </row>
    <row r="217">
      <c r="A217" s="9"/>
      <c r="B217" s="9"/>
      <c r="C217" s="9"/>
      <c r="D217" s="9"/>
      <c r="E217" s="9"/>
      <c r="F217" s="10"/>
      <c r="G217" s="9"/>
      <c r="H217" s="9"/>
      <c r="I217" s="9"/>
      <c r="J217" s="9"/>
      <c r="K217" s="7" t="s">
        <v>189</v>
      </c>
      <c r="L217" s="8" t="s">
        <v>65</v>
      </c>
    </row>
    <row r="218">
      <c r="A218" s="5">
        <v>73.0</v>
      </c>
      <c r="B218" s="6" t="s">
        <v>286</v>
      </c>
      <c r="C218" s="5" t="s">
        <v>12</v>
      </c>
      <c r="D218" s="5">
        <v>1.0</v>
      </c>
      <c r="E218" s="5" t="s">
        <v>28</v>
      </c>
      <c r="F218" s="5" t="s">
        <v>14</v>
      </c>
      <c r="G218" s="5" t="s">
        <v>287</v>
      </c>
      <c r="H218" s="5" t="s">
        <v>282</v>
      </c>
      <c r="I218" s="5" t="s">
        <v>117</v>
      </c>
      <c r="J218" s="5">
        <v>8.231001007E10</v>
      </c>
      <c r="K218" s="7" t="s">
        <v>14</v>
      </c>
      <c r="L218" s="8" t="s">
        <v>18</v>
      </c>
    </row>
    <row r="219">
      <c r="A219" s="9"/>
      <c r="B219" s="9"/>
      <c r="C219" s="9"/>
      <c r="D219" s="9"/>
      <c r="E219" s="9"/>
      <c r="F219" s="9"/>
      <c r="G219" s="9"/>
      <c r="H219" s="9"/>
      <c r="I219" s="9"/>
      <c r="J219" s="9"/>
      <c r="K219" s="7" t="s">
        <v>19</v>
      </c>
      <c r="L219" s="8" t="s">
        <v>65</v>
      </c>
    </row>
    <row r="220">
      <c r="A220" s="9"/>
      <c r="B220" s="9"/>
      <c r="C220" s="9"/>
      <c r="D220" s="9"/>
      <c r="E220" s="9"/>
      <c r="F220" s="10"/>
      <c r="G220" s="9"/>
      <c r="H220" s="9"/>
      <c r="I220" s="9"/>
      <c r="J220" s="9"/>
      <c r="K220" s="7" t="s">
        <v>21</v>
      </c>
      <c r="L220" s="8" t="s">
        <v>196</v>
      </c>
    </row>
    <row r="221">
      <c r="A221" s="5">
        <v>74.0</v>
      </c>
      <c r="B221" s="6" t="s">
        <v>288</v>
      </c>
      <c r="C221" s="5" t="s">
        <v>27</v>
      </c>
      <c r="D221" s="5">
        <v>1.0</v>
      </c>
      <c r="E221" s="5" t="s">
        <v>28</v>
      </c>
      <c r="F221" s="5" t="s">
        <v>160</v>
      </c>
      <c r="G221" s="5" t="s">
        <v>289</v>
      </c>
      <c r="H221" s="5" t="s">
        <v>116</v>
      </c>
      <c r="I221" s="5" t="s">
        <v>117</v>
      </c>
      <c r="J221" s="5">
        <v>8.231001007E10</v>
      </c>
      <c r="K221" s="7" t="s">
        <v>14</v>
      </c>
      <c r="L221" s="22" t="s">
        <v>32</v>
      </c>
    </row>
    <row r="222">
      <c r="A222" s="9"/>
      <c r="B222" s="9"/>
      <c r="C222" s="9"/>
      <c r="D222" s="9"/>
      <c r="E222" s="9"/>
      <c r="F222" s="9"/>
      <c r="G222" s="9"/>
      <c r="H222" s="9"/>
      <c r="I222" s="9"/>
      <c r="J222" s="9"/>
      <c r="K222" s="7" t="s">
        <v>19</v>
      </c>
      <c r="L222" s="8" t="s">
        <v>126</v>
      </c>
    </row>
    <row r="223">
      <c r="A223" s="10"/>
      <c r="B223" s="10"/>
      <c r="C223" s="9"/>
      <c r="D223" s="10"/>
      <c r="E223" s="9"/>
      <c r="F223" s="10"/>
      <c r="G223" s="10"/>
      <c r="H223" s="10"/>
      <c r="I223" s="9"/>
      <c r="J223" s="9"/>
      <c r="K223" s="7" t="s">
        <v>189</v>
      </c>
      <c r="L223" s="8" t="s">
        <v>126</v>
      </c>
    </row>
    <row r="224">
      <c r="A224" s="5">
        <v>75.0</v>
      </c>
      <c r="B224" s="6" t="s">
        <v>290</v>
      </c>
      <c r="C224" s="5" t="s">
        <v>27</v>
      </c>
      <c r="D224" s="5">
        <v>2.0</v>
      </c>
      <c r="E224" s="5" t="s">
        <v>291</v>
      </c>
      <c r="F224" s="5" t="s">
        <v>14</v>
      </c>
      <c r="G224" s="5" t="s">
        <v>292</v>
      </c>
      <c r="H224" s="5" t="s">
        <v>282</v>
      </c>
      <c r="I224" s="5" t="s">
        <v>117</v>
      </c>
      <c r="J224" s="5">
        <v>8.231001007E10</v>
      </c>
      <c r="K224" s="7" t="s">
        <v>14</v>
      </c>
      <c r="L224" s="8" t="s">
        <v>84</v>
      </c>
    </row>
    <row r="225">
      <c r="A225" s="9"/>
      <c r="B225" s="9"/>
      <c r="C225" s="9"/>
      <c r="D225" s="9"/>
      <c r="E225" s="9"/>
      <c r="F225" s="9"/>
      <c r="G225" s="9"/>
      <c r="H225" s="9"/>
      <c r="I225" s="9"/>
      <c r="J225" s="9"/>
      <c r="K225" s="7" t="s">
        <v>19</v>
      </c>
      <c r="L225" s="7" t="s">
        <v>32</v>
      </c>
    </row>
    <row r="226">
      <c r="A226" s="10"/>
      <c r="B226" s="10"/>
      <c r="C226" s="9"/>
      <c r="D226" s="10"/>
      <c r="E226" s="10"/>
      <c r="F226" s="10"/>
      <c r="G226" s="10"/>
      <c r="H226" s="10"/>
      <c r="I226" s="9"/>
      <c r="J226" s="9"/>
      <c r="K226" s="7" t="s">
        <v>21</v>
      </c>
      <c r="L226" s="7" t="s">
        <v>32</v>
      </c>
    </row>
    <row r="227">
      <c r="A227" s="5">
        <v>76.0</v>
      </c>
      <c r="B227" s="6" t="s">
        <v>293</v>
      </c>
      <c r="C227" s="5" t="s">
        <v>12</v>
      </c>
      <c r="D227" s="11"/>
      <c r="E227" s="11"/>
      <c r="F227" s="5" t="s">
        <v>14</v>
      </c>
      <c r="G227" s="23" t="s">
        <v>294</v>
      </c>
      <c r="H227" s="5" t="s">
        <v>282</v>
      </c>
      <c r="I227" s="5" t="s">
        <v>117</v>
      </c>
      <c r="J227" s="5">
        <v>8.231001007E10</v>
      </c>
      <c r="K227" s="7" t="s">
        <v>14</v>
      </c>
      <c r="L227" s="8" t="s">
        <v>143</v>
      </c>
    </row>
    <row r="228">
      <c r="A228" s="9"/>
      <c r="B228" s="9"/>
      <c r="C228" s="9"/>
      <c r="D228" s="9"/>
      <c r="E228" s="9"/>
      <c r="F228" s="9"/>
      <c r="G228" s="9"/>
      <c r="H228" s="9"/>
      <c r="I228" s="9"/>
      <c r="J228" s="9"/>
      <c r="K228" s="7" t="s">
        <v>19</v>
      </c>
      <c r="L228" s="7" t="s">
        <v>32</v>
      </c>
    </row>
    <row r="229">
      <c r="A229" s="10"/>
      <c r="B229" s="10"/>
      <c r="C229" s="9"/>
      <c r="D229" s="10"/>
      <c r="E229" s="10"/>
      <c r="F229" s="10"/>
      <c r="G229" s="10"/>
      <c r="H229" s="10"/>
      <c r="I229" s="9"/>
      <c r="J229" s="9"/>
      <c r="K229" s="7" t="s">
        <v>21</v>
      </c>
      <c r="L229" s="7" t="s">
        <v>32</v>
      </c>
    </row>
    <row r="230">
      <c r="A230" s="5">
        <v>77.0</v>
      </c>
      <c r="B230" s="6" t="s">
        <v>295</v>
      </c>
      <c r="C230" s="5" t="s">
        <v>12</v>
      </c>
      <c r="D230" s="11"/>
      <c r="E230" s="11"/>
      <c r="F230" s="5" t="s">
        <v>160</v>
      </c>
      <c r="G230" s="5" t="s">
        <v>296</v>
      </c>
      <c r="H230" s="5" t="s">
        <v>116</v>
      </c>
      <c r="I230" s="5" t="s">
        <v>117</v>
      </c>
      <c r="J230" s="5">
        <v>8.231001007E10</v>
      </c>
      <c r="K230" s="7" t="s">
        <v>14</v>
      </c>
      <c r="L230" s="7" t="s">
        <v>32</v>
      </c>
    </row>
    <row r="231">
      <c r="A231" s="9"/>
      <c r="B231" s="9"/>
      <c r="C231" s="9"/>
      <c r="D231" s="9"/>
      <c r="E231" s="9"/>
      <c r="F231" s="9"/>
      <c r="G231" s="9"/>
      <c r="H231" s="9"/>
      <c r="I231" s="9"/>
      <c r="J231" s="9"/>
      <c r="K231" s="7" t="s">
        <v>19</v>
      </c>
      <c r="L231" s="8" t="s">
        <v>52</v>
      </c>
    </row>
    <row r="232">
      <c r="A232" s="10"/>
      <c r="B232" s="10"/>
      <c r="C232" s="9"/>
      <c r="D232" s="10"/>
      <c r="E232" s="10"/>
      <c r="F232" s="10"/>
      <c r="G232" s="10"/>
      <c r="H232" s="10"/>
      <c r="I232" s="9"/>
      <c r="J232" s="9"/>
      <c r="K232" s="7" t="s">
        <v>189</v>
      </c>
      <c r="L232" s="8" t="s">
        <v>49</v>
      </c>
    </row>
    <row r="233">
      <c r="A233" s="5">
        <v>78.0</v>
      </c>
      <c r="B233" s="6" t="s">
        <v>297</v>
      </c>
      <c r="C233" s="5" t="s">
        <v>110</v>
      </c>
      <c r="D233" s="5">
        <v>3.0</v>
      </c>
      <c r="E233" s="5" t="s">
        <v>298</v>
      </c>
      <c r="F233" s="5" t="s">
        <v>14</v>
      </c>
      <c r="G233" s="5" t="s">
        <v>299</v>
      </c>
      <c r="H233" s="5" t="s">
        <v>100</v>
      </c>
      <c r="I233" s="5" t="s">
        <v>117</v>
      </c>
      <c r="J233" s="5">
        <v>8.231001007E10</v>
      </c>
      <c r="K233" s="7" t="s">
        <v>14</v>
      </c>
      <c r="L233" s="8" t="s">
        <v>118</v>
      </c>
    </row>
    <row r="234">
      <c r="A234" s="9"/>
      <c r="B234" s="9"/>
      <c r="C234" s="9"/>
      <c r="D234" s="9"/>
      <c r="E234" s="9"/>
      <c r="F234" s="9"/>
      <c r="G234" s="9"/>
      <c r="H234" s="9"/>
      <c r="I234" s="9"/>
      <c r="J234" s="9"/>
      <c r="K234" s="7" t="s">
        <v>19</v>
      </c>
      <c r="L234" s="8" t="s">
        <v>38</v>
      </c>
    </row>
    <row r="235">
      <c r="A235" s="10"/>
      <c r="B235" s="10"/>
      <c r="C235" s="10"/>
      <c r="D235" s="10"/>
      <c r="E235" s="10"/>
      <c r="F235" s="10"/>
      <c r="G235" s="10"/>
      <c r="H235" s="10"/>
      <c r="I235" s="9"/>
      <c r="J235" s="9"/>
      <c r="K235" s="7" t="s">
        <v>189</v>
      </c>
      <c r="L235" s="8" t="s">
        <v>77</v>
      </c>
    </row>
    <row r="236">
      <c r="A236" s="5">
        <v>79.0</v>
      </c>
      <c r="B236" s="6" t="s">
        <v>300</v>
      </c>
      <c r="C236" s="5" t="s">
        <v>12</v>
      </c>
      <c r="D236" s="5">
        <v>1.0</v>
      </c>
      <c r="E236" s="5" t="s">
        <v>28</v>
      </c>
      <c r="F236" s="5" t="s">
        <v>14</v>
      </c>
      <c r="G236" s="5" t="s">
        <v>301</v>
      </c>
      <c r="H236" s="5" t="s">
        <v>142</v>
      </c>
      <c r="I236" s="5" t="s">
        <v>117</v>
      </c>
      <c r="J236" s="5">
        <v>8.231001007E10</v>
      </c>
      <c r="K236" s="7" t="s">
        <v>14</v>
      </c>
      <c r="L236" s="8" t="s">
        <v>143</v>
      </c>
    </row>
    <row r="237">
      <c r="A237" s="9"/>
      <c r="B237" s="9"/>
      <c r="C237" s="9"/>
      <c r="D237" s="9"/>
      <c r="E237" s="9"/>
      <c r="F237" s="9"/>
      <c r="G237" s="9"/>
      <c r="H237" s="9"/>
      <c r="I237" s="9"/>
      <c r="J237" s="9"/>
      <c r="K237" s="7" t="s">
        <v>19</v>
      </c>
      <c r="L237" s="8" t="s">
        <v>22</v>
      </c>
    </row>
    <row r="238">
      <c r="A238" s="10"/>
      <c r="B238" s="10"/>
      <c r="C238" s="9"/>
      <c r="D238" s="10"/>
      <c r="E238" s="10"/>
      <c r="F238" s="10"/>
      <c r="G238" s="10"/>
      <c r="H238" s="10"/>
      <c r="I238" s="9"/>
      <c r="J238" s="9"/>
      <c r="K238" s="7" t="s">
        <v>21</v>
      </c>
      <c r="L238" s="8" t="s">
        <v>53</v>
      </c>
    </row>
    <row r="239">
      <c r="A239" s="5">
        <v>80.0</v>
      </c>
      <c r="B239" s="6" t="s">
        <v>302</v>
      </c>
      <c r="C239" s="5" t="s">
        <v>12</v>
      </c>
      <c r="D239" s="5">
        <v>1.0</v>
      </c>
      <c r="E239" s="5" t="s">
        <v>28</v>
      </c>
      <c r="F239" s="5" t="s">
        <v>160</v>
      </c>
      <c r="G239" s="5" t="s">
        <v>303</v>
      </c>
      <c r="H239" s="5" t="s">
        <v>282</v>
      </c>
      <c r="I239" s="5" t="s">
        <v>117</v>
      </c>
      <c r="J239" s="5">
        <v>8.231001007E10</v>
      </c>
      <c r="K239" s="7" t="s">
        <v>14</v>
      </c>
      <c r="L239" s="8" t="s">
        <v>133</v>
      </c>
    </row>
    <row r="240">
      <c r="A240" s="9"/>
      <c r="B240" s="9"/>
      <c r="C240" s="9"/>
      <c r="D240" s="9"/>
      <c r="E240" s="9"/>
      <c r="F240" s="9"/>
      <c r="G240" s="9"/>
      <c r="H240" s="9"/>
      <c r="I240" s="9"/>
      <c r="J240" s="9"/>
      <c r="K240" s="7" t="s">
        <v>19</v>
      </c>
      <c r="L240" s="8" t="s">
        <v>126</v>
      </c>
    </row>
    <row r="241">
      <c r="A241" s="10"/>
      <c r="B241" s="10"/>
      <c r="C241" s="9"/>
      <c r="D241" s="10"/>
      <c r="E241" s="10"/>
      <c r="F241" s="10"/>
      <c r="G241" s="10"/>
      <c r="H241" s="10"/>
      <c r="I241" s="9"/>
      <c r="J241" s="9"/>
      <c r="K241" s="7" t="s">
        <v>21</v>
      </c>
      <c r="L241" s="8" t="s">
        <v>283</v>
      </c>
    </row>
    <row r="242">
      <c r="A242" s="5">
        <v>81.0</v>
      </c>
      <c r="B242" s="6" t="s">
        <v>304</v>
      </c>
      <c r="C242" s="5" t="s">
        <v>110</v>
      </c>
      <c r="D242" s="5">
        <v>2.0</v>
      </c>
      <c r="E242" s="5" t="s">
        <v>305</v>
      </c>
      <c r="F242" s="5" t="s">
        <v>14</v>
      </c>
      <c r="G242" s="5" t="s">
        <v>306</v>
      </c>
      <c r="H242" s="5" t="s">
        <v>142</v>
      </c>
      <c r="I242" s="5" t="s">
        <v>117</v>
      </c>
      <c r="J242" s="5">
        <v>8.231001007E10</v>
      </c>
      <c r="K242" s="7" t="s">
        <v>14</v>
      </c>
      <c r="L242" s="8" t="s">
        <v>42</v>
      </c>
    </row>
    <row r="243">
      <c r="A243" s="9"/>
      <c r="B243" s="9"/>
      <c r="C243" s="9"/>
      <c r="D243" s="9"/>
      <c r="E243" s="9"/>
      <c r="F243" s="9"/>
      <c r="G243" s="9"/>
      <c r="H243" s="9"/>
      <c r="I243" s="9"/>
      <c r="J243" s="9"/>
      <c r="K243" s="7" t="s">
        <v>19</v>
      </c>
      <c r="L243" s="8" t="s">
        <v>126</v>
      </c>
    </row>
    <row r="244">
      <c r="A244" s="10"/>
      <c r="B244" s="10"/>
      <c r="C244" s="10"/>
      <c r="D244" s="10"/>
      <c r="E244" s="10"/>
      <c r="F244" s="10"/>
      <c r="G244" s="10"/>
      <c r="H244" s="10"/>
      <c r="I244" s="9"/>
      <c r="J244" s="9"/>
      <c r="K244" s="7" t="s">
        <v>21</v>
      </c>
      <c r="L244" s="8" t="s">
        <v>222</v>
      </c>
    </row>
    <row r="245">
      <c r="A245" s="5">
        <v>82.0</v>
      </c>
      <c r="B245" s="6" t="s">
        <v>307</v>
      </c>
      <c r="C245" s="5" t="s">
        <v>27</v>
      </c>
      <c r="D245" s="11"/>
      <c r="E245" s="11"/>
      <c r="F245" s="5" t="s">
        <v>14</v>
      </c>
      <c r="G245" s="5" t="s">
        <v>308</v>
      </c>
      <c r="H245" s="5" t="s">
        <v>309</v>
      </c>
      <c r="I245" s="5" t="s">
        <v>117</v>
      </c>
      <c r="J245" s="5">
        <v>8.231001007E10</v>
      </c>
      <c r="K245" s="7" t="s">
        <v>14</v>
      </c>
      <c r="L245" s="8">
        <v>800.0</v>
      </c>
    </row>
    <row r="246">
      <c r="A246" s="9"/>
      <c r="B246" s="9"/>
      <c r="C246" s="9"/>
      <c r="D246" s="9"/>
      <c r="E246" s="9"/>
      <c r="F246" s="9"/>
      <c r="G246" s="9"/>
      <c r="H246" s="9"/>
      <c r="I246" s="9"/>
      <c r="J246" s="9"/>
      <c r="K246" s="7" t="s">
        <v>19</v>
      </c>
      <c r="L246" s="7" t="s">
        <v>32</v>
      </c>
    </row>
    <row r="247">
      <c r="A247" s="10"/>
      <c r="B247" s="10"/>
      <c r="C247" s="9"/>
      <c r="D247" s="10"/>
      <c r="E247" s="10"/>
      <c r="F247" s="10"/>
      <c r="G247" s="10"/>
      <c r="H247" s="10"/>
      <c r="I247" s="9"/>
      <c r="J247" s="9"/>
      <c r="K247" s="7" t="s">
        <v>21</v>
      </c>
      <c r="L247" s="8" t="s">
        <v>20</v>
      </c>
    </row>
    <row r="248">
      <c r="A248" s="5">
        <v>83.0</v>
      </c>
      <c r="B248" s="6" t="s">
        <v>310</v>
      </c>
      <c r="C248" s="5" t="s">
        <v>12</v>
      </c>
      <c r="D248" s="5">
        <v>1.0</v>
      </c>
      <c r="E248" s="5" t="s">
        <v>28</v>
      </c>
      <c r="F248" s="5" t="s">
        <v>14</v>
      </c>
      <c r="G248" s="5" t="s">
        <v>311</v>
      </c>
      <c r="H248" s="5" t="s">
        <v>142</v>
      </c>
      <c r="I248" s="5" t="s">
        <v>117</v>
      </c>
      <c r="J248" s="5">
        <v>8.231001007E10</v>
      </c>
      <c r="K248" s="7" t="s">
        <v>14</v>
      </c>
      <c r="L248" s="8" t="s">
        <v>83</v>
      </c>
    </row>
    <row r="249">
      <c r="A249" s="9"/>
      <c r="B249" s="9"/>
      <c r="C249" s="9"/>
      <c r="D249" s="9"/>
      <c r="E249" s="9"/>
      <c r="F249" s="9"/>
      <c r="G249" s="9"/>
      <c r="H249" s="9"/>
      <c r="I249" s="9"/>
      <c r="J249" s="9"/>
      <c r="K249" s="7" t="s">
        <v>19</v>
      </c>
      <c r="L249" s="8">
        <v>800.0</v>
      </c>
    </row>
    <row r="250">
      <c r="A250" s="10"/>
      <c r="B250" s="10"/>
      <c r="C250" s="9"/>
      <c r="D250" s="10"/>
      <c r="E250" s="10"/>
      <c r="F250" s="10"/>
      <c r="G250" s="10"/>
      <c r="H250" s="10"/>
      <c r="I250" s="9"/>
      <c r="J250" s="9"/>
      <c r="K250" s="7" t="s">
        <v>21</v>
      </c>
      <c r="L250" s="8" t="s">
        <v>22</v>
      </c>
    </row>
    <row r="251">
      <c r="A251" s="5">
        <v>84.0</v>
      </c>
      <c r="B251" s="6" t="s">
        <v>312</v>
      </c>
      <c r="C251" s="5" t="s">
        <v>27</v>
      </c>
      <c r="D251" s="5">
        <v>2.0</v>
      </c>
      <c r="E251" s="5" t="s">
        <v>138</v>
      </c>
      <c r="F251" s="5" t="s">
        <v>14</v>
      </c>
      <c r="G251" s="5" t="s">
        <v>313</v>
      </c>
      <c r="H251" s="5" t="s">
        <v>282</v>
      </c>
      <c r="I251" s="5" t="s">
        <v>117</v>
      </c>
      <c r="J251" s="5">
        <v>8.231001007E10</v>
      </c>
      <c r="K251" s="7" t="s">
        <v>14</v>
      </c>
      <c r="L251" s="8" t="s">
        <v>20</v>
      </c>
    </row>
    <row r="252">
      <c r="A252" s="9"/>
      <c r="B252" s="9"/>
      <c r="C252" s="9"/>
      <c r="D252" s="9"/>
      <c r="E252" s="9"/>
      <c r="F252" s="9"/>
      <c r="G252" s="9"/>
      <c r="H252" s="9"/>
      <c r="I252" s="9"/>
      <c r="J252" s="9"/>
      <c r="K252" s="7" t="s">
        <v>19</v>
      </c>
      <c r="L252" s="8">
        <v>800.0</v>
      </c>
    </row>
    <row r="253">
      <c r="A253" s="10"/>
      <c r="B253" s="10"/>
      <c r="C253" s="9"/>
      <c r="D253" s="10"/>
      <c r="E253" s="10"/>
      <c r="F253" s="10"/>
      <c r="G253" s="10"/>
      <c r="H253" s="10"/>
      <c r="I253" s="9"/>
      <c r="J253" s="9"/>
      <c r="K253" s="7" t="s">
        <v>21</v>
      </c>
      <c r="L253" s="8" t="s">
        <v>83</v>
      </c>
    </row>
    <row r="254">
      <c r="A254" s="5">
        <v>85.0</v>
      </c>
      <c r="B254" s="6" t="s">
        <v>314</v>
      </c>
      <c r="C254" s="5" t="s">
        <v>27</v>
      </c>
      <c r="D254" s="5">
        <v>2.0</v>
      </c>
      <c r="E254" s="5" t="s">
        <v>315</v>
      </c>
      <c r="F254" s="5" t="s">
        <v>14</v>
      </c>
      <c r="G254" s="5" t="s">
        <v>316</v>
      </c>
      <c r="H254" s="5" t="s">
        <v>282</v>
      </c>
      <c r="I254" s="5" t="s">
        <v>117</v>
      </c>
      <c r="J254" s="5">
        <v>8.231001007E10</v>
      </c>
      <c r="K254" s="7" t="s">
        <v>14</v>
      </c>
      <c r="L254" s="8" t="s">
        <v>22</v>
      </c>
    </row>
    <row r="255">
      <c r="A255" s="9"/>
      <c r="B255" s="9"/>
      <c r="C255" s="9"/>
      <c r="D255" s="9"/>
      <c r="E255" s="9"/>
      <c r="F255" s="9"/>
      <c r="G255" s="9"/>
      <c r="H255" s="9"/>
      <c r="I255" s="9"/>
      <c r="J255" s="9"/>
      <c r="K255" s="7" t="s">
        <v>19</v>
      </c>
      <c r="L255" s="8" t="s">
        <v>65</v>
      </c>
    </row>
    <row r="256">
      <c r="A256" s="10"/>
      <c r="B256" s="10"/>
      <c r="C256" s="9"/>
      <c r="D256" s="10"/>
      <c r="E256" s="10"/>
      <c r="F256" s="10"/>
      <c r="G256" s="10"/>
      <c r="H256" s="10"/>
      <c r="I256" s="9"/>
      <c r="J256" s="9"/>
      <c r="K256" s="7" t="s">
        <v>21</v>
      </c>
      <c r="L256" s="8" t="s">
        <v>84</v>
      </c>
    </row>
    <row r="257">
      <c r="A257" s="5">
        <v>86.0</v>
      </c>
      <c r="B257" s="6" t="s">
        <v>317</v>
      </c>
      <c r="C257" s="5" t="s">
        <v>110</v>
      </c>
      <c r="D257" s="5">
        <v>1.0</v>
      </c>
      <c r="E257" s="5" t="s">
        <v>152</v>
      </c>
      <c r="F257" s="5" t="s">
        <v>14</v>
      </c>
      <c r="G257" s="5" t="s">
        <v>318</v>
      </c>
      <c r="H257" s="5" t="s">
        <v>282</v>
      </c>
      <c r="I257" s="5" t="s">
        <v>117</v>
      </c>
      <c r="J257" s="5">
        <v>8.231001007E10</v>
      </c>
      <c r="K257" s="7" t="s">
        <v>14</v>
      </c>
      <c r="L257" s="8" t="s">
        <v>133</v>
      </c>
    </row>
    <row r="258">
      <c r="A258" s="9"/>
      <c r="B258" s="9"/>
      <c r="C258" s="9"/>
      <c r="D258" s="9"/>
      <c r="E258" s="9"/>
      <c r="F258" s="9"/>
      <c r="G258" s="9"/>
      <c r="H258" s="9"/>
      <c r="I258" s="9"/>
      <c r="J258" s="9"/>
      <c r="K258" s="7" t="s">
        <v>19</v>
      </c>
      <c r="L258" s="7" t="s">
        <v>32</v>
      </c>
    </row>
    <row r="259">
      <c r="A259" s="10"/>
      <c r="B259" s="10"/>
      <c r="C259" s="10"/>
      <c r="D259" s="10"/>
      <c r="E259" s="10"/>
      <c r="F259" s="10"/>
      <c r="G259" s="10"/>
      <c r="H259" s="10"/>
      <c r="I259" s="9"/>
      <c r="J259" s="9"/>
      <c r="K259" s="7" t="s">
        <v>21</v>
      </c>
      <c r="L259" s="7" t="s">
        <v>32</v>
      </c>
    </row>
    <row r="260">
      <c r="A260" s="5">
        <v>87.0</v>
      </c>
      <c r="B260" s="6" t="s">
        <v>319</v>
      </c>
      <c r="C260" s="5" t="s">
        <v>12</v>
      </c>
      <c r="D260" s="11"/>
      <c r="E260" s="11"/>
      <c r="F260" s="5" t="s">
        <v>160</v>
      </c>
      <c r="G260" s="5" t="s">
        <v>320</v>
      </c>
      <c r="H260" s="5" t="s">
        <v>100</v>
      </c>
      <c r="I260" s="5" t="s">
        <v>117</v>
      </c>
      <c r="J260" s="5">
        <v>8.231001007E10</v>
      </c>
      <c r="K260" s="7" t="s">
        <v>14</v>
      </c>
      <c r="L260" s="8" t="s">
        <v>39</v>
      </c>
    </row>
    <row r="261">
      <c r="A261" s="9"/>
      <c r="B261" s="9"/>
      <c r="C261" s="9"/>
      <c r="D261" s="9"/>
      <c r="E261" s="9"/>
      <c r="F261" s="9"/>
      <c r="G261" s="9"/>
      <c r="H261" s="9"/>
      <c r="I261" s="9"/>
      <c r="J261" s="9"/>
      <c r="K261" s="7" t="s">
        <v>19</v>
      </c>
      <c r="L261" s="8" t="s">
        <v>217</v>
      </c>
    </row>
    <row r="262">
      <c r="A262" s="10"/>
      <c r="B262" s="10"/>
      <c r="C262" s="9"/>
      <c r="D262" s="10"/>
      <c r="E262" s="10"/>
      <c r="F262" s="10"/>
      <c r="G262" s="10"/>
      <c r="H262" s="10"/>
      <c r="I262" s="9"/>
      <c r="J262" s="9"/>
      <c r="K262" s="7" t="s">
        <v>21</v>
      </c>
      <c r="L262" s="7" t="s">
        <v>32</v>
      </c>
    </row>
    <row r="263">
      <c r="A263" s="5">
        <v>88.0</v>
      </c>
      <c r="B263" s="6" t="s">
        <v>321</v>
      </c>
      <c r="C263" s="5" t="s">
        <v>12</v>
      </c>
      <c r="D263" s="5">
        <v>2.0</v>
      </c>
      <c r="E263" s="5" t="s">
        <v>63</v>
      </c>
      <c r="F263" s="5" t="s">
        <v>14</v>
      </c>
      <c r="G263" s="5" t="s">
        <v>322</v>
      </c>
      <c r="H263" s="5" t="s">
        <v>323</v>
      </c>
      <c r="I263" s="5" t="s">
        <v>117</v>
      </c>
      <c r="J263" s="5">
        <v>8.231001007E10</v>
      </c>
      <c r="K263" s="7" t="s">
        <v>14</v>
      </c>
      <c r="L263" s="8" t="s">
        <v>22</v>
      </c>
    </row>
    <row r="264">
      <c r="A264" s="9"/>
      <c r="B264" s="9"/>
      <c r="C264" s="9"/>
      <c r="D264" s="9"/>
      <c r="E264" s="9"/>
      <c r="F264" s="9"/>
      <c r="G264" s="9"/>
      <c r="H264" s="9"/>
      <c r="I264" s="9"/>
      <c r="J264" s="9"/>
      <c r="K264" s="7" t="s">
        <v>19</v>
      </c>
      <c r="L264" s="7" t="s">
        <v>32</v>
      </c>
    </row>
    <row r="265">
      <c r="A265" s="10"/>
      <c r="B265" s="10"/>
      <c r="C265" s="9"/>
      <c r="D265" s="10"/>
      <c r="E265" s="10"/>
      <c r="F265" s="10"/>
      <c r="G265" s="10"/>
      <c r="H265" s="10"/>
      <c r="I265" s="9"/>
      <c r="J265" s="9"/>
      <c r="K265" s="7" t="s">
        <v>21</v>
      </c>
      <c r="L265" s="7" t="s">
        <v>32</v>
      </c>
    </row>
    <row r="266">
      <c r="A266" s="5">
        <v>89.0</v>
      </c>
      <c r="B266" s="6" t="s">
        <v>324</v>
      </c>
      <c r="C266" s="5" t="s">
        <v>27</v>
      </c>
      <c r="D266" s="5">
        <v>1.0</v>
      </c>
      <c r="E266" s="5" t="s">
        <v>28</v>
      </c>
      <c r="F266" s="5" t="s">
        <v>160</v>
      </c>
      <c r="G266" s="5" t="s">
        <v>325</v>
      </c>
      <c r="H266" s="5" t="s">
        <v>282</v>
      </c>
      <c r="I266" s="5" t="s">
        <v>117</v>
      </c>
      <c r="J266" s="5">
        <v>8.231001007E10</v>
      </c>
      <c r="K266" s="7" t="s">
        <v>189</v>
      </c>
      <c r="L266" s="8">
        <v>800.0</v>
      </c>
    </row>
    <row r="267">
      <c r="A267" s="9"/>
      <c r="B267" s="9"/>
      <c r="C267" s="9"/>
      <c r="D267" s="9"/>
      <c r="E267" s="9"/>
      <c r="F267" s="9"/>
      <c r="G267" s="9"/>
      <c r="H267" s="9"/>
      <c r="I267" s="9"/>
      <c r="J267" s="9"/>
      <c r="K267" s="7" t="s">
        <v>19</v>
      </c>
      <c r="L267" s="8" t="s">
        <v>133</v>
      </c>
    </row>
    <row r="268">
      <c r="A268" s="10"/>
      <c r="B268" s="10"/>
      <c r="C268" s="9"/>
      <c r="D268" s="10"/>
      <c r="E268" s="10"/>
      <c r="F268" s="10"/>
      <c r="G268" s="10"/>
      <c r="H268" s="10"/>
      <c r="I268" s="9"/>
      <c r="J268" s="9"/>
      <c r="K268" s="7" t="s">
        <v>21</v>
      </c>
      <c r="L268" s="8" t="s">
        <v>57</v>
      </c>
    </row>
    <row r="269">
      <c r="A269" s="5">
        <v>90.0</v>
      </c>
      <c r="B269" s="6" t="s">
        <v>326</v>
      </c>
      <c r="C269" s="5" t="s">
        <v>12</v>
      </c>
      <c r="D269" s="11"/>
      <c r="E269" s="11"/>
      <c r="F269" s="5" t="s">
        <v>14</v>
      </c>
      <c r="G269" s="5" t="s">
        <v>327</v>
      </c>
      <c r="H269" s="5" t="s">
        <v>328</v>
      </c>
      <c r="I269" s="5" t="s">
        <v>117</v>
      </c>
      <c r="J269" s="5">
        <v>8.231001007E10</v>
      </c>
      <c r="K269" s="7" t="s">
        <v>14</v>
      </c>
      <c r="L269" s="8" t="s">
        <v>329</v>
      </c>
    </row>
    <row r="270">
      <c r="A270" s="9"/>
      <c r="B270" s="9"/>
      <c r="C270" s="9"/>
      <c r="D270" s="9"/>
      <c r="E270" s="9"/>
      <c r="F270" s="9"/>
      <c r="G270" s="9"/>
      <c r="H270" s="9"/>
      <c r="I270" s="9"/>
      <c r="J270" s="9"/>
      <c r="K270" s="7" t="s">
        <v>19</v>
      </c>
      <c r="L270" s="8" t="s">
        <v>330</v>
      </c>
    </row>
    <row r="271">
      <c r="A271" s="10"/>
      <c r="B271" s="10"/>
      <c r="C271" s="9"/>
      <c r="D271" s="10"/>
      <c r="E271" s="10"/>
      <c r="F271" s="10"/>
      <c r="G271" s="10"/>
      <c r="H271" s="10"/>
      <c r="I271" s="9"/>
      <c r="J271" s="9"/>
      <c r="K271" s="7" t="s">
        <v>21</v>
      </c>
      <c r="L271" s="8" t="s">
        <v>39</v>
      </c>
    </row>
    <row r="272">
      <c r="A272" s="5">
        <v>91.0</v>
      </c>
      <c r="B272" s="24" t="s">
        <v>331</v>
      </c>
      <c r="C272" s="5" t="s">
        <v>12</v>
      </c>
      <c r="D272" s="5">
        <v>1.0</v>
      </c>
      <c r="E272" s="5" t="s">
        <v>28</v>
      </c>
      <c r="F272" s="5" t="s">
        <v>160</v>
      </c>
      <c r="G272" s="5" t="s">
        <v>332</v>
      </c>
      <c r="H272" s="5" t="s">
        <v>282</v>
      </c>
      <c r="I272" s="5" t="s">
        <v>117</v>
      </c>
      <c r="J272" s="5">
        <v>8.231001007E10</v>
      </c>
      <c r="K272" s="7" t="s">
        <v>189</v>
      </c>
      <c r="L272" s="8" t="s">
        <v>65</v>
      </c>
    </row>
    <row r="273">
      <c r="A273" s="9"/>
      <c r="B273" s="9"/>
      <c r="C273" s="9"/>
      <c r="D273" s="9"/>
      <c r="E273" s="9"/>
      <c r="F273" s="9"/>
      <c r="G273" s="9"/>
      <c r="H273" s="9"/>
      <c r="I273" s="9"/>
      <c r="J273" s="9"/>
      <c r="K273" s="7" t="s">
        <v>19</v>
      </c>
      <c r="L273" s="8" t="s">
        <v>84</v>
      </c>
    </row>
    <row r="274">
      <c r="A274" s="10"/>
      <c r="B274" s="10"/>
      <c r="C274" s="9"/>
      <c r="D274" s="10"/>
      <c r="E274" s="10"/>
      <c r="F274" s="10"/>
      <c r="G274" s="10"/>
      <c r="H274" s="10"/>
      <c r="I274" s="9"/>
      <c r="J274" s="9"/>
      <c r="K274" s="7" t="s">
        <v>246</v>
      </c>
      <c r="L274" s="8" t="s">
        <v>83</v>
      </c>
    </row>
    <row r="275">
      <c r="A275" s="5">
        <v>92.0</v>
      </c>
      <c r="B275" s="24" t="s">
        <v>333</v>
      </c>
      <c r="C275" s="5" t="s">
        <v>27</v>
      </c>
      <c r="D275" s="5">
        <v>2.0</v>
      </c>
      <c r="E275" s="5" t="s">
        <v>138</v>
      </c>
      <c r="F275" s="5" t="s">
        <v>14</v>
      </c>
      <c r="G275" s="5" t="s">
        <v>334</v>
      </c>
      <c r="H275" s="5" t="s">
        <v>142</v>
      </c>
      <c r="I275" s="5" t="s">
        <v>117</v>
      </c>
      <c r="J275" s="5">
        <v>8.231001007E10</v>
      </c>
      <c r="K275" s="7" t="s">
        <v>14</v>
      </c>
      <c r="L275" s="8" t="s">
        <v>20</v>
      </c>
    </row>
    <row r="276">
      <c r="A276" s="9"/>
      <c r="B276" s="9"/>
      <c r="C276" s="9"/>
      <c r="D276" s="9"/>
      <c r="E276" s="9"/>
      <c r="F276" s="9"/>
      <c r="G276" s="9"/>
      <c r="H276" s="9"/>
      <c r="I276" s="9"/>
      <c r="J276" s="9"/>
      <c r="K276" s="7" t="s">
        <v>19</v>
      </c>
      <c r="L276" s="8" t="s">
        <v>65</v>
      </c>
    </row>
    <row r="277">
      <c r="A277" s="10"/>
      <c r="B277" s="10"/>
      <c r="C277" s="9"/>
      <c r="D277" s="10"/>
      <c r="E277" s="10"/>
      <c r="F277" s="10"/>
      <c r="G277" s="10"/>
      <c r="H277" s="10"/>
      <c r="I277" s="9"/>
      <c r="J277" s="9"/>
      <c r="K277" s="7" t="s">
        <v>21</v>
      </c>
      <c r="L277" s="8" t="s">
        <v>335</v>
      </c>
    </row>
    <row r="278">
      <c r="A278" s="5">
        <v>93.0</v>
      </c>
      <c r="B278" s="24" t="s">
        <v>336</v>
      </c>
      <c r="C278" s="5" t="s">
        <v>27</v>
      </c>
      <c r="D278" s="5">
        <v>2.0</v>
      </c>
      <c r="E278" s="5" t="s">
        <v>138</v>
      </c>
      <c r="F278" s="5" t="s">
        <v>14</v>
      </c>
      <c r="G278" s="5" t="s">
        <v>337</v>
      </c>
      <c r="H278" s="5" t="s">
        <v>142</v>
      </c>
      <c r="I278" s="5" t="s">
        <v>117</v>
      </c>
      <c r="J278" s="5">
        <v>8.231001007E10</v>
      </c>
      <c r="K278" s="7" t="s">
        <v>14</v>
      </c>
      <c r="L278" s="8" t="s">
        <v>22</v>
      </c>
    </row>
    <row r="279">
      <c r="A279" s="9"/>
      <c r="B279" s="9"/>
      <c r="C279" s="9"/>
      <c r="D279" s="9"/>
      <c r="E279" s="9"/>
      <c r="F279" s="9"/>
      <c r="G279" s="9"/>
      <c r="H279" s="9"/>
      <c r="I279" s="9"/>
      <c r="J279" s="9"/>
      <c r="K279" s="7" t="s">
        <v>19</v>
      </c>
      <c r="L279" s="8" t="s">
        <v>83</v>
      </c>
    </row>
    <row r="280">
      <c r="A280" s="10"/>
      <c r="B280" s="10"/>
      <c r="C280" s="9"/>
      <c r="D280" s="10"/>
      <c r="E280" s="10"/>
      <c r="F280" s="10"/>
      <c r="G280" s="10"/>
      <c r="H280" s="10"/>
      <c r="I280" s="9"/>
      <c r="J280" s="9"/>
      <c r="K280" s="7" t="s">
        <v>21</v>
      </c>
      <c r="L280" s="8" t="s">
        <v>133</v>
      </c>
    </row>
    <row r="281">
      <c r="A281" s="5">
        <v>94.0</v>
      </c>
      <c r="B281" s="24" t="s">
        <v>338</v>
      </c>
      <c r="C281" s="5" t="s">
        <v>12</v>
      </c>
      <c r="D281" s="11"/>
      <c r="E281" s="11"/>
      <c r="F281" s="5" t="s">
        <v>160</v>
      </c>
      <c r="G281" s="5" t="s">
        <v>339</v>
      </c>
      <c r="H281" s="5" t="s">
        <v>328</v>
      </c>
      <c r="I281" s="5" t="s">
        <v>117</v>
      </c>
      <c r="J281" s="5">
        <v>8.231001007E10</v>
      </c>
      <c r="K281" s="7" t="s">
        <v>14</v>
      </c>
      <c r="L281" s="8" t="s">
        <v>38</v>
      </c>
    </row>
    <row r="282">
      <c r="A282" s="9"/>
      <c r="B282" s="9"/>
      <c r="C282" s="9"/>
      <c r="D282" s="9"/>
      <c r="E282" s="9"/>
      <c r="F282" s="9"/>
      <c r="G282" s="9"/>
      <c r="H282" s="9"/>
      <c r="I282" s="9"/>
      <c r="J282" s="9"/>
      <c r="K282" s="7" t="s">
        <v>19</v>
      </c>
      <c r="L282" s="8" t="s">
        <v>38</v>
      </c>
    </row>
    <row r="283">
      <c r="A283" s="10"/>
      <c r="B283" s="10"/>
      <c r="C283" s="9"/>
      <c r="D283" s="10"/>
      <c r="E283" s="10"/>
      <c r="F283" s="10"/>
      <c r="G283" s="10"/>
      <c r="H283" s="10"/>
      <c r="I283" s="9"/>
      <c r="J283" s="9"/>
      <c r="K283" s="7" t="s">
        <v>246</v>
      </c>
      <c r="L283" s="8" t="s">
        <v>217</v>
      </c>
    </row>
    <row r="284">
      <c r="A284" s="5">
        <v>95.0</v>
      </c>
      <c r="B284" s="24" t="s">
        <v>340</v>
      </c>
      <c r="C284" s="5" t="s">
        <v>110</v>
      </c>
      <c r="D284" s="5">
        <v>2.0</v>
      </c>
      <c r="E284" s="5" t="s">
        <v>138</v>
      </c>
      <c r="F284" s="5" t="s">
        <v>14</v>
      </c>
      <c r="G284" s="5" t="s">
        <v>341</v>
      </c>
      <c r="H284" s="5" t="s">
        <v>282</v>
      </c>
      <c r="I284" s="5" t="s">
        <v>117</v>
      </c>
      <c r="J284" s="5">
        <v>8.231001007E10</v>
      </c>
      <c r="K284" s="7" t="s">
        <v>14</v>
      </c>
      <c r="L284" s="8" t="s">
        <v>143</v>
      </c>
    </row>
    <row r="285">
      <c r="A285" s="9"/>
      <c r="B285" s="9"/>
      <c r="C285" s="9"/>
      <c r="D285" s="9"/>
      <c r="E285" s="9"/>
      <c r="F285" s="9"/>
      <c r="G285" s="9"/>
      <c r="H285" s="9"/>
      <c r="I285" s="9"/>
      <c r="J285" s="9"/>
      <c r="K285" s="7" t="s">
        <v>19</v>
      </c>
      <c r="L285" s="8" t="s">
        <v>22</v>
      </c>
    </row>
    <row r="286">
      <c r="A286" s="10"/>
      <c r="B286" s="10"/>
      <c r="C286" s="10"/>
      <c r="D286" s="10"/>
      <c r="E286" s="10"/>
      <c r="F286" s="10"/>
      <c r="G286" s="10"/>
      <c r="H286" s="10"/>
      <c r="I286" s="9"/>
      <c r="J286" s="9"/>
      <c r="K286" s="7" t="s">
        <v>21</v>
      </c>
      <c r="L286" s="8" t="s">
        <v>136</v>
      </c>
    </row>
    <row r="287">
      <c r="A287" s="5">
        <v>96.0</v>
      </c>
      <c r="B287" s="24" t="s">
        <v>342</v>
      </c>
      <c r="C287" s="5" t="s">
        <v>27</v>
      </c>
      <c r="D287" s="5">
        <v>2.0</v>
      </c>
      <c r="E287" s="5" t="s">
        <v>177</v>
      </c>
      <c r="F287" s="5" t="s">
        <v>160</v>
      </c>
      <c r="G287" s="5" t="s">
        <v>343</v>
      </c>
      <c r="H287" s="5" t="s">
        <v>116</v>
      </c>
      <c r="I287" s="5" t="s">
        <v>117</v>
      </c>
      <c r="J287" s="5">
        <v>8.231001007E10</v>
      </c>
      <c r="K287" s="7" t="s">
        <v>189</v>
      </c>
      <c r="L287" s="8">
        <v>600.0</v>
      </c>
    </row>
    <row r="288">
      <c r="A288" s="9"/>
      <c r="B288" s="9"/>
      <c r="C288" s="9"/>
      <c r="D288" s="9"/>
      <c r="E288" s="9"/>
      <c r="F288" s="9"/>
      <c r="G288" s="9"/>
      <c r="H288" s="9"/>
      <c r="I288" s="9"/>
      <c r="J288" s="9"/>
      <c r="K288" s="7" t="s">
        <v>19</v>
      </c>
      <c r="L288" s="8" t="s">
        <v>196</v>
      </c>
    </row>
    <row r="289">
      <c r="A289" s="10"/>
      <c r="B289" s="10"/>
      <c r="C289" s="9"/>
      <c r="D289" s="10"/>
      <c r="E289" s="10"/>
      <c r="F289" s="10"/>
      <c r="G289" s="10"/>
      <c r="H289" s="10"/>
      <c r="I289" s="9"/>
      <c r="J289" s="9"/>
      <c r="K289" s="7" t="s">
        <v>246</v>
      </c>
      <c r="L289" s="8" t="s">
        <v>65</v>
      </c>
    </row>
    <row r="290">
      <c r="A290" s="5">
        <v>97.0</v>
      </c>
      <c r="B290" s="24" t="s">
        <v>344</v>
      </c>
      <c r="C290" s="5" t="s">
        <v>27</v>
      </c>
      <c r="D290" s="5">
        <v>2.0</v>
      </c>
      <c r="E290" s="5" t="s">
        <v>177</v>
      </c>
      <c r="F290" s="5" t="s">
        <v>14</v>
      </c>
      <c r="G290" s="5" t="s">
        <v>345</v>
      </c>
      <c r="H290" s="5" t="s">
        <v>116</v>
      </c>
      <c r="I290" s="5" t="s">
        <v>117</v>
      </c>
      <c r="J290" s="5">
        <v>8.231001007E10</v>
      </c>
      <c r="K290" s="7" t="s">
        <v>14</v>
      </c>
      <c r="L290" s="8">
        <v>600.0</v>
      </c>
    </row>
    <row r="291">
      <c r="A291" s="9"/>
      <c r="B291" s="9"/>
      <c r="C291" s="9"/>
      <c r="D291" s="9"/>
      <c r="E291" s="9"/>
      <c r="F291" s="9"/>
      <c r="G291" s="9"/>
      <c r="H291" s="9"/>
      <c r="I291" s="9"/>
      <c r="J291" s="9"/>
      <c r="K291" s="7" t="s">
        <v>19</v>
      </c>
      <c r="L291" s="8">
        <v>400.0</v>
      </c>
    </row>
    <row r="292">
      <c r="A292" s="10"/>
      <c r="B292" s="10"/>
      <c r="C292" s="9"/>
      <c r="D292" s="10"/>
      <c r="E292" s="10"/>
      <c r="F292" s="10"/>
      <c r="G292" s="10"/>
      <c r="H292" s="10"/>
      <c r="I292" s="9"/>
      <c r="J292" s="9"/>
      <c r="K292" s="7" t="s">
        <v>21</v>
      </c>
      <c r="L292" s="8">
        <v>800.0</v>
      </c>
    </row>
    <row r="293">
      <c r="A293" s="5">
        <v>98.0</v>
      </c>
      <c r="B293" s="24" t="s">
        <v>346</v>
      </c>
      <c r="C293" s="5" t="s">
        <v>12</v>
      </c>
      <c r="D293" s="11"/>
      <c r="E293" s="11"/>
      <c r="F293" s="5" t="s">
        <v>160</v>
      </c>
      <c r="G293" s="5" t="s">
        <v>347</v>
      </c>
      <c r="H293" s="5" t="s">
        <v>328</v>
      </c>
      <c r="I293" s="5" t="s">
        <v>117</v>
      </c>
      <c r="J293" s="5">
        <v>8.231001007E10</v>
      </c>
      <c r="K293" s="7" t="s">
        <v>14</v>
      </c>
      <c r="L293" s="8" t="s">
        <v>348</v>
      </c>
    </row>
    <row r="294">
      <c r="A294" s="9"/>
      <c r="B294" s="9"/>
      <c r="C294" s="9"/>
      <c r="D294" s="9"/>
      <c r="E294" s="9"/>
      <c r="F294" s="9"/>
      <c r="G294" s="9"/>
      <c r="H294" s="9"/>
      <c r="I294" s="9"/>
      <c r="J294" s="9"/>
      <c r="K294" s="7" t="s">
        <v>19</v>
      </c>
      <c r="L294" s="8" t="s">
        <v>349</v>
      </c>
    </row>
    <row r="295">
      <c r="A295" s="10"/>
      <c r="B295" s="10"/>
      <c r="C295" s="9"/>
      <c r="D295" s="10"/>
      <c r="E295" s="10"/>
      <c r="F295" s="10"/>
      <c r="G295" s="10"/>
      <c r="H295" s="10"/>
      <c r="I295" s="9"/>
      <c r="J295" s="9"/>
      <c r="K295" s="7" t="s">
        <v>21</v>
      </c>
      <c r="L295" s="8" t="s">
        <v>106</v>
      </c>
    </row>
    <row r="296">
      <c r="A296" s="5">
        <v>99.0</v>
      </c>
      <c r="B296" s="24" t="s">
        <v>350</v>
      </c>
      <c r="C296" s="5" t="s">
        <v>27</v>
      </c>
      <c r="D296" s="5">
        <v>1.0</v>
      </c>
      <c r="E296" s="5" t="s">
        <v>28</v>
      </c>
      <c r="F296" s="5" t="s">
        <v>160</v>
      </c>
      <c r="G296" s="5" t="s">
        <v>351</v>
      </c>
      <c r="H296" s="5" t="s">
        <v>116</v>
      </c>
      <c r="I296" s="5" t="s">
        <v>117</v>
      </c>
      <c r="J296" s="5">
        <v>8.231001007E10</v>
      </c>
      <c r="K296" s="7" t="s">
        <v>189</v>
      </c>
      <c r="L296" s="8">
        <v>600.0</v>
      </c>
    </row>
    <row r="297">
      <c r="A297" s="9"/>
      <c r="B297" s="9"/>
      <c r="C297" s="9"/>
      <c r="D297" s="9"/>
      <c r="E297" s="9"/>
      <c r="F297" s="9"/>
      <c r="G297" s="9"/>
      <c r="H297" s="9"/>
      <c r="I297" s="9"/>
      <c r="J297" s="9"/>
      <c r="K297" s="7" t="s">
        <v>19</v>
      </c>
      <c r="L297" s="8" t="s">
        <v>20</v>
      </c>
    </row>
    <row r="298">
      <c r="A298" s="10"/>
      <c r="B298" s="10"/>
      <c r="C298" s="9"/>
      <c r="D298" s="10"/>
      <c r="E298" s="10"/>
      <c r="F298" s="10"/>
      <c r="G298" s="10"/>
      <c r="H298" s="10"/>
      <c r="I298" s="9"/>
      <c r="J298" s="9"/>
      <c r="K298" s="7" t="s">
        <v>246</v>
      </c>
      <c r="L298" s="8">
        <v>800.0</v>
      </c>
    </row>
    <row r="299">
      <c r="A299" s="5">
        <v>100.0</v>
      </c>
      <c r="B299" s="24" t="s">
        <v>352</v>
      </c>
      <c r="C299" s="5" t="s">
        <v>12</v>
      </c>
      <c r="D299" s="5">
        <v>1.0</v>
      </c>
      <c r="E299" s="5" t="s">
        <v>28</v>
      </c>
      <c r="F299" s="5" t="s">
        <v>160</v>
      </c>
      <c r="G299" s="5" t="s">
        <v>353</v>
      </c>
      <c r="H299" s="5" t="s">
        <v>116</v>
      </c>
      <c r="I299" s="5" t="s">
        <v>117</v>
      </c>
      <c r="J299" s="5">
        <v>8.231001007E10</v>
      </c>
      <c r="K299" s="7" t="s">
        <v>14</v>
      </c>
      <c r="L299" s="8" t="s">
        <v>22</v>
      </c>
    </row>
    <row r="300">
      <c r="A300" s="9"/>
      <c r="B300" s="9"/>
      <c r="C300" s="9"/>
      <c r="D300" s="9"/>
      <c r="E300" s="9"/>
      <c r="F300" s="9"/>
      <c r="G300" s="9"/>
      <c r="H300" s="9"/>
      <c r="I300" s="9"/>
      <c r="J300" s="9"/>
      <c r="K300" s="7" t="s">
        <v>19</v>
      </c>
      <c r="L300" s="8" t="s">
        <v>133</v>
      </c>
    </row>
    <row r="301">
      <c r="A301" s="10"/>
      <c r="B301" s="10"/>
      <c r="C301" s="9"/>
      <c r="D301" s="10"/>
      <c r="E301" s="10"/>
      <c r="F301" s="10"/>
      <c r="G301" s="10"/>
      <c r="H301" s="10"/>
      <c r="I301" s="9"/>
      <c r="J301" s="9"/>
      <c r="K301" s="7" t="s">
        <v>21</v>
      </c>
      <c r="L301" s="8" t="s">
        <v>130</v>
      </c>
    </row>
    <row r="302">
      <c r="A302" s="5">
        <v>101.0</v>
      </c>
      <c r="B302" s="24" t="s">
        <v>354</v>
      </c>
      <c r="C302" s="5" t="s">
        <v>27</v>
      </c>
      <c r="D302" s="5">
        <v>3.0</v>
      </c>
      <c r="E302" s="5" t="s">
        <v>355</v>
      </c>
      <c r="F302" s="5" t="s">
        <v>160</v>
      </c>
      <c r="G302" s="5" t="s">
        <v>356</v>
      </c>
      <c r="H302" s="5" t="s">
        <v>116</v>
      </c>
      <c r="I302" s="5" t="s">
        <v>117</v>
      </c>
      <c r="J302" s="5">
        <v>8.231001007E10</v>
      </c>
      <c r="K302" s="7" t="s">
        <v>189</v>
      </c>
      <c r="L302" s="8" t="s">
        <v>133</v>
      </c>
    </row>
    <row r="303">
      <c r="A303" s="9"/>
      <c r="B303" s="9"/>
      <c r="C303" s="9"/>
      <c r="D303" s="9"/>
      <c r="E303" s="9"/>
      <c r="F303" s="9"/>
      <c r="G303" s="9"/>
      <c r="H303" s="9"/>
      <c r="I303" s="9"/>
      <c r="J303" s="9"/>
      <c r="K303" s="7" t="s">
        <v>19</v>
      </c>
      <c r="L303" s="8" t="s">
        <v>53</v>
      </c>
    </row>
    <row r="304">
      <c r="A304" s="10"/>
      <c r="B304" s="10"/>
      <c r="C304" s="9"/>
      <c r="D304" s="10"/>
      <c r="E304" s="10"/>
      <c r="F304" s="10"/>
      <c r="G304" s="10"/>
      <c r="H304" s="10"/>
      <c r="I304" s="9"/>
      <c r="J304" s="9"/>
      <c r="K304" s="7" t="s">
        <v>246</v>
      </c>
      <c r="L304" s="8" t="s">
        <v>143</v>
      </c>
    </row>
    <row r="305">
      <c r="A305" s="5">
        <v>102.0</v>
      </c>
      <c r="B305" s="24" t="s">
        <v>357</v>
      </c>
      <c r="C305" s="5" t="s">
        <v>12</v>
      </c>
      <c r="D305" s="5">
        <v>1.0</v>
      </c>
      <c r="E305" s="5" t="s">
        <v>13</v>
      </c>
      <c r="F305" s="5" t="s">
        <v>14</v>
      </c>
      <c r="G305" s="5" t="s">
        <v>358</v>
      </c>
      <c r="H305" s="5" t="s">
        <v>116</v>
      </c>
      <c r="I305" s="5" t="s">
        <v>117</v>
      </c>
      <c r="J305" s="5">
        <v>8.231001007E10</v>
      </c>
      <c r="K305" s="7" t="s">
        <v>14</v>
      </c>
      <c r="L305" s="8" t="s">
        <v>22</v>
      </c>
    </row>
    <row r="306">
      <c r="A306" s="9"/>
      <c r="B306" s="9"/>
      <c r="C306" s="9"/>
      <c r="D306" s="9"/>
      <c r="E306" s="9"/>
      <c r="F306" s="9"/>
      <c r="G306" s="9"/>
      <c r="H306" s="9"/>
      <c r="I306" s="9"/>
      <c r="J306" s="9"/>
      <c r="K306" s="7" t="s">
        <v>19</v>
      </c>
      <c r="L306" s="8" t="s">
        <v>20</v>
      </c>
    </row>
    <row r="307">
      <c r="A307" s="10"/>
      <c r="B307" s="10"/>
      <c r="C307" s="9"/>
      <c r="D307" s="10"/>
      <c r="E307" s="10"/>
      <c r="F307" s="10"/>
      <c r="G307" s="10"/>
      <c r="H307" s="10"/>
      <c r="I307" s="9"/>
      <c r="J307" s="9"/>
      <c r="K307" s="7" t="s">
        <v>21</v>
      </c>
      <c r="L307" s="8" t="s">
        <v>84</v>
      </c>
    </row>
    <row r="308">
      <c r="A308" s="5">
        <v>103.0</v>
      </c>
      <c r="B308" s="24" t="s">
        <v>359</v>
      </c>
      <c r="C308" s="5" t="s">
        <v>12</v>
      </c>
      <c r="D308" s="5">
        <v>2.0</v>
      </c>
      <c r="E308" s="5" t="s">
        <v>138</v>
      </c>
      <c r="F308" s="5" t="s">
        <v>14</v>
      </c>
      <c r="G308" s="5" t="s">
        <v>360</v>
      </c>
      <c r="H308" s="5" t="s">
        <v>142</v>
      </c>
      <c r="I308" s="5" t="s">
        <v>117</v>
      </c>
      <c r="J308" s="5">
        <v>8.231001007E10</v>
      </c>
      <c r="K308" s="7" t="s">
        <v>14</v>
      </c>
      <c r="L308" s="8" t="s">
        <v>124</v>
      </c>
    </row>
    <row r="309">
      <c r="A309" s="9"/>
      <c r="B309" s="9"/>
      <c r="C309" s="9"/>
      <c r="D309" s="9"/>
      <c r="E309" s="9"/>
      <c r="F309" s="9"/>
      <c r="G309" s="9"/>
      <c r="H309" s="9"/>
      <c r="I309" s="9"/>
      <c r="J309" s="9"/>
      <c r="K309" s="7" t="s">
        <v>19</v>
      </c>
      <c r="L309" s="8" t="s">
        <v>361</v>
      </c>
    </row>
    <row r="310">
      <c r="A310" s="10"/>
      <c r="B310" s="10"/>
      <c r="C310" s="9"/>
      <c r="D310" s="10"/>
      <c r="E310" s="10"/>
      <c r="F310" s="10"/>
      <c r="G310" s="10"/>
      <c r="H310" s="10"/>
      <c r="I310" s="9"/>
      <c r="J310" s="9"/>
      <c r="K310" s="7" t="s">
        <v>21</v>
      </c>
      <c r="L310" s="8" t="s">
        <v>210</v>
      </c>
    </row>
    <row r="311">
      <c r="A311" s="5">
        <v>104.0</v>
      </c>
      <c r="B311" s="24" t="s">
        <v>362</v>
      </c>
      <c r="C311" s="5" t="s">
        <v>27</v>
      </c>
      <c r="D311" s="5">
        <v>1.0</v>
      </c>
      <c r="E311" s="5" t="s">
        <v>28</v>
      </c>
      <c r="F311" s="5" t="s">
        <v>14</v>
      </c>
      <c r="G311" s="5" t="s">
        <v>363</v>
      </c>
      <c r="H311" s="5" t="s">
        <v>142</v>
      </c>
      <c r="I311" s="5" t="s">
        <v>117</v>
      </c>
      <c r="J311" s="5">
        <v>8.231001007E10</v>
      </c>
      <c r="K311" s="7" t="s">
        <v>14</v>
      </c>
      <c r="L311" s="8">
        <v>800.0</v>
      </c>
    </row>
    <row r="312">
      <c r="A312" s="9"/>
      <c r="B312" s="9"/>
      <c r="C312" s="9"/>
      <c r="D312" s="9"/>
      <c r="E312" s="9"/>
      <c r="F312" s="9"/>
      <c r="G312" s="9"/>
      <c r="H312" s="9"/>
      <c r="I312" s="9"/>
      <c r="J312" s="9"/>
      <c r="K312" s="7" t="s">
        <v>19</v>
      </c>
      <c r="L312" s="7" t="s">
        <v>32</v>
      </c>
    </row>
    <row r="313">
      <c r="A313" s="10"/>
      <c r="B313" s="10"/>
      <c r="C313" s="9"/>
      <c r="D313" s="10"/>
      <c r="E313" s="10"/>
      <c r="F313" s="10"/>
      <c r="G313" s="10"/>
      <c r="H313" s="10"/>
      <c r="I313" s="9"/>
      <c r="J313" s="9"/>
      <c r="K313" s="7" t="s">
        <v>21</v>
      </c>
      <c r="L313" s="7" t="s">
        <v>32</v>
      </c>
    </row>
    <row r="314">
      <c r="A314" s="5">
        <v>105.0</v>
      </c>
      <c r="B314" s="24" t="s">
        <v>364</v>
      </c>
      <c r="C314" s="5" t="s">
        <v>12</v>
      </c>
      <c r="D314" s="5">
        <v>1.0</v>
      </c>
      <c r="E314" s="5" t="s">
        <v>28</v>
      </c>
      <c r="F314" s="5" t="s">
        <v>14</v>
      </c>
      <c r="G314" s="5" t="s">
        <v>365</v>
      </c>
      <c r="H314" s="5" t="s">
        <v>282</v>
      </c>
      <c r="I314" s="5" t="s">
        <v>117</v>
      </c>
      <c r="J314" s="5">
        <v>8.231001007E10</v>
      </c>
      <c r="K314" s="7" t="s">
        <v>14</v>
      </c>
      <c r="L314" s="8" t="s">
        <v>126</v>
      </c>
    </row>
    <row r="315">
      <c r="A315" s="9"/>
      <c r="B315" s="9"/>
      <c r="C315" s="9"/>
      <c r="D315" s="9"/>
      <c r="E315" s="9"/>
      <c r="F315" s="9"/>
      <c r="G315" s="9"/>
      <c r="H315" s="9"/>
      <c r="I315" s="9"/>
      <c r="J315" s="9"/>
      <c r="K315" s="7" t="s">
        <v>19</v>
      </c>
      <c r="L315" s="7" t="s">
        <v>32</v>
      </c>
    </row>
    <row r="316">
      <c r="A316" s="10"/>
      <c r="B316" s="10"/>
      <c r="C316" s="9"/>
      <c r="D316" s="10"/>
      <c r="E316" s="10"/>
      <c r="F316" s="10"/>
      <c r="G316" s="10"/>
      <c r="H316" s="10"/>
      <c r="I316" s="9"/>
      <c r="J316" s="9"/>
      <c r="K316" s="7" t="s">
        <v>21</v>
      </c>
      <c r="L316" s="7" t="s">
        <v>32</v>
      </c>
    </row>
    <row r="317">
      <c r="A317" s="5">
        <v>106.0</v>
      </c>
      <c r="B317" s="24" t="s">
        <v>366</v>
      </c>
      <c r="C317" s="5" t="s">
        <v>27</v>
      </c>
      <c r="D317" s="5">
        <v>1.0</v>
      </c>
      <c r="E317" s="5" t="s">
        <v>13</v>
      </c>
      <c r="F317" s="5" t="s">
        <v>14</v>
      </c>
      <c r="G317" s="5" t="s">
        <v>367</v>
      </c>
      <c r="H317" s="5" t="s">
        <v>116</v>
      </c>
      <c r="I317" s="5" t="s">
        <v>117</v>
      </c>
      <c r="J317" s="5">
        <v>8.231001007E10</v>
      </c>
      <c r="K317" s="7" t="s">
        <v>189</v>
      </c>
      <c r="L317" s="8">
        <v>850.0</v>
      </c>
    </row>
    <row r="318">
      <c r="A318" s="9"/>
      <c r="B318" s="9"/>
      <c r="C318" s="9"/>
      <c r="D318" s="9"/>
      <c r="E318" s="9"/>
      <c r="F318" s="9"/>
      <c r="G318" s="9"/>
      <c r="H318" s="9"/>
      <c r="I318" s="9"/>
      <c r="J318" s="9"/>
      <c r="K318" s="7" t="s">
        <v>19</v>
      </c>
      <c r="L318" s="8" t="s">
        <v>22</v>
      </c>
    </row>
    <row r="319">
      <c r="A319" s="10"/>
      <c r="B319" s="10"/>
      <c r="C319" s="9"/>
      <c r="D319" s="10"/>
      <c r="E319" s="10"/>
      <c r="F319" s="10"/>
      <c r="G319" s="10"/>
      <c r="H319" s="10"/>
      <c r="I319" s="9"/>
      <c r="J319" s="9"/>
      <c r="K319" s="7" t="s">
        <v>246</v>
      </c>
      <c r="L319" s="8" t="s">
        <v>83</v>
      </c>
    </row>
    <row r="320">
      <c r="A320" s="5">
        <v>107.0</v>
      </c>
      <c r="B320" s="24" t="s">
        <v>368</v>
      </c>
      <c r="C320" s="5" t="s">
        <v>27</v>
      </c>
      <c r="D320" s="5">
        <v>1.0</v>
      </c>
      <c r="E320" s="5" t="s">
        <v>231</v>
      </c>
      <c r="F320" s="5" t="s">
        <v>14</v>
      </c>
      <c r="G320" s="5" t="s">
        <v>369</v>
      </c>
      <c r="H320" s="5" t="s">
        <v>116</v>
      </c>
      <c r="I320" s="5" t="s">
        <v>117</v>
      </c>
      <c r="J320" s="5">
        <v>8.231001007E10</v>
      </c>
      <c r="K320" s="7" t="s">
        <v>14</v>
      </c>
      <c r="L320" s="8" t="s">
        <v>335</v>
      </c>
    </row>
    <row r="321">
      <c r="A321" s="9"/>
      <c r="B321" s="9"/>
      <c r="C321" s="9"/>
      <c r="D321" s="9"/>
      <c r="E321" s="9"/>
      <c r="F321" s="9"/>
      <c r="G321" s="9"/>
      <c r="H321" s="9"/>
      <c r="I321" s="9"/>
      <c r="J321" s="9"/>
      <c r="K321" s="7" t="s">
        <v>19</v>
      </c>
      <c r="L321" s="8" t="s">
        <v>20</v>
      </c>
    </row>
    <row r="322">
      <c r="A322" s="10"/>
      <c r="B322" s="10"/>
      <c r="C322" s="9"/>
      <c r="D322" s="10"/>
      <c r="E322" s="10"/>
      <c r="F322" s="10"/>
      <c r="G322" s="10"/>
      <c r="H322" s="10"/>
      <c r="I322" s="9"/>
      <c r="J322" s="9"/>
      <c r="K322" s="7" t="s">
        <v>21</v>
      </c>
      <c r="L322" s="8" t="s">
        <v>84</v>
      </c>
    </row>
    <row r="323">
      <c r="A323" s="5">
        <v>109.0</v>
      </c>
      <c r="B323" s="24" t="s">
        <v>370</v>
      </c>
      <c r="C323" s="5" t="s">
        <v>12</v>
      </c>
      <c r="D323" s="11"/>
      <c r="E323" s="11"/>
      <c r="F323" s="5" t="s">
        <v>160</v>
      </c>
      <c r="G323" s="5" t="s">
        <v>371</v>
      </c>
      <c r="H323" s="5" t="s">
        <v>142</v>
      </c>
      <c r="I323" s="5" t="s">
        <v>117</v>
      </c>
      <c r="J323" s="5">
        <v>8.231001007E10</v>
      </c>
      <c r="K323" s="7" t="s">
        <v>14</v>
      </c>
      <c r="L323" s="8" t="s">
        <v>372</v>
      </c>
    </row>
    <row r="324">
      <c r="A324" s="9"/>
      <c r="B324" s="9"/>
      <c r="C324" s="9"/>
      <c r="D324" s="9"/>
      <c r="E324" s="9"/>
      <c r="F324" s="9"/>
      <c r="G324" s="9"/>
      <c r="H324" s="9"/>
      <c r="I324" s="9"/>
      <c r="J324" s="9"/>
      <c r="K324" s="7" t="s">
        <v>19</v>
      </c>
      <c r="L324" s="8">
        <v>600.0</v>
      </c>
    </row>
    <row r="325">
      <c r="A325" s="10"/>
      <c r="B325" s="10"/>
      <c r="C325" s="9"/>
      <c r="D325" s="10"/>
      <c r="E325" s="10"/>
      <c r="F325" s="10"/>
      <c r="G325" s="10"/>
      <c r="H325" s="10"/>
      <c r="I325" s="9"/>
      <c r="J325" s="9"/>
      <c r="K325" s="7" t="s">
        <v>21</v>
      </c>
      <c r="L325" s="8" t="s">
        <v>20</v>
      </c>
    </row>
    <row r="326">
      <c r="A326" s="5">
        <v>110.0</v>
      </c>
      <c r="B326" s="24" t="s">
        <v>373</v>
      </c>
      <c r="C326" s="5" t="s">
        <v>12</v>
      </c>
      <c r="D326" s="5">
        <v>1.0</v>
      </c>
      <c r="E326" s="5" t="s">
        <v>28</v>
      </c>
      <c r="F326" s="5" t="s">
        <v>14</v>
      </c>
      <c r="G326" s="5" t="s">
        <v>374</v>
      </c>
      <c r="H326" s="5" t="s">
        <v>375</v>
      </c>
      <c r="I326" s="5" t="s">
        <v>117</v>
      </c>
      <c r="J326" s="5">
        <v>8.231001007E10</v>
      </c>
      <c r="K326" s="7" t="s">
        <v>14</v>
      </c>
      <c r="L326" s="8" t="s">
        <v>42</v>
      </c>
    </row>
    <row r="327">
      <c r="A327" s="9"/>
      <c r="B327" s="9"/>
      <c r="C327" s="9"/>
      <c r="D327" s="9"/>
      <c r="E327" s="9"/>
      <c r="F327" s="9"/>
      <c r="G327" s="9"/>
      <c r="H327" s="9"/>
      <c r="I327" s="9"/>
      <c r="J327" s="9"/>
      <c r="K327" s="7" t="s">
        <v>19</v>
      </c>
      <c r="L327" s="8" t="s">
        <v>376</v>
      </c>
    </row>
    <row r="328">
      <c r="A328" s="10"/>
      <c r="B328" s="10"/>
      <c r="C328" s="9"/>
      <c r="D328" s="10"/>
      <c r="E328" s="10"/>
      <c r="F328" s="10"/>
      <c r="G328" s="10"/>
      <c r="H328" s="10"/>
      <c r="I328" s="9"/>
      <c r="J328" s="9"/>
      <c r="K328" s="7" t="s">
        <v>21</v>
      </c>
      <c r="L328" s="8" t="s">
        <v>377</v>
      </c>
    </row>
    <row r="329">
      <c r="A329" s="5">
        <v>111.0</v>
      </c>
      <c r="B329" s="24" t="s">
        <v>378</v>
      </c>
      <c r="C329" s="5" t="s">
        <v>12</v>
      </c>
      <c r="D329" s="5">
        <v>1.0</v>
      </c>
      <c r="E329" s="5" t="s">
        <v>28</v>
      </c>
      <c r="F329" s="5" t="s">
        <v>14</v>
      </c>
      <c r="G329" s="5" t="s">
        <v>379</v>
      </c>
      <c r="H329" s="5" t="s">
        <v>282</v>
      </c>
      <c r="I329" s="5" t="s">
        <v>117</v>
      </c>
      <c r="J329" s="5">
        <v>8.231001007E10</v>
      </c>
      <c r="K329" s="7" t="s">
        <v>14</v>
      </c>
      <c r="L329" s="8" t="s">
        <v>143</v>
      </c>
    </row>
    <row r="330">
      <c r="A330" s="9"/>
      <c r="B330" s="9"/>
      <c r="C330" s="9"/>
      <c r="D330" s="9"/>
      <c r="E330" s="9"/>
      <c r="F330" s="9"/>
      <c r="G330" s="9"/>
      <c r="H330" s="9"/>
      <c r="I330" s="9"/>
      <c r="J330" s="9"/>
      <c r="K330" s="7" t="s">
        <v>19</v>
      </c>
      <c r="L330" s="8" t="s">
        <v>133</v>
      </c>
    </row>
    <row r="331">
      <c r="A331" s="10"/>
      <c r="B331" s="10"/>
      <c r="C331" s="9"/>
      <c r="D331" s="10"/>
      <c r="E331" s="10"/>
      <c r="F331" s="10"/>
      <c r="G331" s="10"/>
      <c r="H331" s="10"/>
      <c r="I331" s="9"/>
      <c r="J331" s="9"/>
      <c r="K331" s="7" t="s">
        <v>21</v>
      </c>
      <c r="L331" s="8" t="s">
        <v>210</v>
      </c>
    </row>
    <row r="332">
      <c r="A332" s="5">
        <v>112.0</v>
      </c>
      <c r="B332" s="24" t="s">
        <v>380</v>
      </c>
      <c r="C332" s="5" t="s">
        <v>12</v>
      </c>
      <c r="D332" s="5">
        <v>2.0</v>
      </c>
      <c r="E332" s="5" t="s">
        <v>138</v>
      </c>
      <c r="F332" s="5" t="s">
        <v>14</v>
      </c>
      <c r="G332" s="5" t="s">
        <v>381</v>
      </c>
      <c r="H332" s="5" t="s">
        <v>282</v>
      </c>
      <c r="I332" s="5" t="s">
        <v>117</v>
      </c>
      <c r="J332" s="5">
        <v>8.231001007E10</v>
      </c>
      <c r="K332" s="7" t="s">
        <v>14</v>
      </c>
      <c r="L332" s="8" t="s">
        <v>133</v>
      </c>
    </row>
    <row r="333">
      <c r="A333" s="9"/>
      <c r="B333" s="9"/>
      <c r="C333" s="9"/>
      <c r="D333" s="9"/>
      <c r="E333" s="9"/>
      <c r="F333" s="9"/>
      <c r="G333" s="9"/>
      <c r="H333" s="9"/>
      <c r="I333" s="9"/>
      <c r="J333" s="9"/>
      <c r="K333" s="7" t="s">
        <v>19</v>
      </c>
      <c r="L333" s="8">
        <v>500.0</v>
      </c>
    </row>
    <row r="334">
      <c r="A334" s="10"/>
      <c r="B334" s="10"/>
      <c r="C334" s="9"/>
      <c r="D334" s="10"/>
      <c r="E334" s="10"/>
      <c r="F334" s="10"/>
      <c r="G334" s="10"/>
      <c r="H334" s="10"/>
      <c r="I334" s="9"/>
      <c r="J334" s="9"/>
      <c r="K334" s="7" t="s">
        <v>21</v>
      </c>
      <c r="L334" s="8" t="s">
        <v>361</v>
      </c>
    </row>
    <row r="335">
      <c r="A335" s="5">
        <v>113.0</v>
      </c>
      <c r="B335" s="24" t="s">
        <v>382</v>
      </c>
      <c r="C335" s="5" t="s">
        <v>12</v>
      </c>
      <c r="D335" s="5">
        <v>1.0</v>
      </c>
      <c r="E335" s="5" t="s">
        <v>28</v>
      </c>
      <c r="F335" s="5" t="s">
        <v>14</v>
      </c>
      <c r="G335" s="5" t="s">
        <v>383</v>
      </c>
      <c r="H335" s="5" t="s">
        <v>142</v>
      </c>
      <c r="I335" s="5" t="s">
        <v>117</v>
      </c>
      <c r="J335" s="5">
        <v>8.231001007E10</v>
      </c>
      <c r="K335" s="7" t="s">
        <v>14</v>
      </c>
      <c r="L335" s="8" t="s">
        <v>130</v>
      </c>
    </row>
    <row r="336">
      <c r="A336" s="9"/>
      <c r="B336" s="9"/>
      <c r="C336" s="9"/>
      <c r="D336" s="9"/>
      <c r="E336" s="9"/>
      <c r="F336" s="9"/>
      <c r="G336" s="9"/>
      <c r="H336" s="9"/>
      <c r="I336" s="9"/>
      <c r="J336" s="9"/>
      <c r="K336" s="7" t="s">
        <v>19</v>
      </c>
      <c r="L336" s="8" t="s">
        <v>133</v>
      </c>
    </row>
    <row r="337">
      <c r="A337" s="10"/>
      <c r="B337" s="10"/>
      <c r="C337" s="9"/>
      <c r="D337" s="10"/>
      <c r="E337" s="10"/>
      <c r="F337" s="10"/>
      <c r="G337" s="10"/>
      <c r="H337" s="10"/>
      <c r="I337" s="9"/>
      <c r="J337" s="9"/>
      <c r="K337" s="7" t="s">
        <v>21</v>
      </c>
      <c r="L337" s="8" t="s">
        <v>53</v>
      </c>
    </row>
    <row r="338">
      <c r="A338" s="5">
        <v>114.0</v>
      </c>
      <c r="B338" s="24" t="s">
        <v>384</v>
      </c>
      <c r="C338" s="5" t="s">
        <v>27</v>
      </c>
      <c r="D338" s="5">
        <v>2.0</v>
      </c>
      <c r="E338" s="5" t="s">
        <v>385</v>
      </c>
      <c r="F338" s="5" t="s">
        <v>160</v>
      </c>
      <c r="G338" s="5" t="s">
        <v>386</v>
      </c>
      <c r="H338" s="5" t="s">
        <v>142</v>
      </c>
      <c r="I338" s="5" t="s">
        <v>117</v>
      </c>
      <c r="J338" s="5">
        <v>8.231001007E10</v>
      </c>
      <c r="K338" s="7" t="s">
        <v>14</v>
      </c>
      <c r="L338" s="8" t="s">
        <v>84</v>
      </c>
    </row>
    <row r="339">
      <c r="A339" s="9"/>
      <c r="B339" s="9"/>
      <c r="C339" s="9"/>
      <c r="D339" s="9"/>
      <c r="E339" s="9"/>
      <c r="F339" s="9"/>
      <c r="G339" s="9"/>
      <c r="H339" s="9"/>
      <c r="I339" s="9"/>
      <c r="J339" s="9"/>
      <c r="K339" s="7" t="s">
        <v>19</v>
      </c>
      <c r="L339" s="8" t="s">
        <v>83</v>
      </c>
    </row>
    <row r="340">
      <c r="A340" s="10"/>
      <c r="B340" s="9"/>
      <c r="C340" s="9"/>
      <c r="D340" s="10"/>
      <c r="E340" s="10"/>
      <c r="F340" s="10"/>
      <c r="G340" s="10"/>
      <c r="H340" s="10"/>
      <c r="I340" s="9"/>
      <c r="J340" s="9"/>
      <c r="K340" s="7" t="s">
        <v>21</v>
      </c>
      <c r="L340" s="8" t="s">
        <v>133</v>
      </c>
    </row>
    <row r="341">
      <c r="A341" s="5">
        <v>115.0</v>
      </c>
      <c r="B341" s="24" t="s">
        <v>387</v>
      </c>
      <c r="C341" s="5" t="s">
        <v>27</v>
      </c>
      <c r="D341" s="5">
        <v>3.0</v>
      </c>
      <c r="E341" s="5" t="s">
        <v>388</v>
      </c>
      <c r="F341" s="5" t="s">
        <v>160</v>
      </c>
      <c r="G341" s="5" t="s">
        <v>389</v>
      </c>
      <c r="H341" s="5" t="s">
        <v>116</v>
      </c>
      <c r="I341" s="5" t="s">
        <v>117</v>
      </c>
      <c r="J341" s="5">
        <v>8.231001007E10</v>
      </c>
      <c r="K341" s="7" t="s">
        <v>189</v>
      </c>
      <c r="L341" s="8" t="s">
        <v>22</v>
      </c>
    </row>
    <row r="342">
      <c r="A342" s="9"/>
      <c r="B342" s="9"/>
      <c r="C342" s="9"/>
      <c r="D342" s="9"/>
      <c r="E342" s="9"/>
      <c r="F342" s="9"/>
      <c r="G342" s="9"/>
      <c r="H342" s="9"/>
      <c r="I342" s="9"/>
      <c r="J342" s="9"/>
      <c r="K342" s="7" t="s">
        <v>19</v>
      </c>
      <c r="L342" s="8" t="s">
        <v>133</v>
      </c>
    </row>
    <row r="343">
      <c r="A343" s="10"/>
      <c r="B343" s="10"/>
      <c r="C343" s="9"/>
      <c r="D343" s="10"/>
      <c r="E343" s="10"/>
      <c r="F343" s="10"/>
      <c r="G343" s="10"/>
      <c r="H343" s="10"/>
      <c r="I343" s="9"/>
      <c r="J343" s="9"/>
      <c r="K343" s="7" t="s">
        <v>246</v>
      </c>
      <c r="L343" s="8" t="s">
        <v>83</v>
      </c>
    </row>
    <row r="344">
      <c r="A344" s="5">
        <v>116.0</v>
      </c>
      <c r="B344" s="24" t="s">
        <v>390</v>
      </c>
      <c r="C344" s="5" t="s">
        <v>12</v>
      </c>
      <c r="D344" s="5">
        <v>3.0</v>
      </c>
      <c r="E344" s="5" t="s">
        <v>391</v>
      </c>
      <c r="F344" s="5" t="s">
        <v>14</v>
      </c>
      <c r="G344" s="5" t="s">
        <v>392</v>
      </c>
      <c r="H344" s="5" t="s">
        <v>116</v>
      </c>
      <c r="I344" s="5" t="s">
        <v>117</v>
      </c>
      <c r="J344" s="5">
        <v>8.231001007E10</v>
      </c>
      <c r="K344" s="7" t="s">
        <v>189</v>
      </c>
      <c r="L344" s="8">
        <v>500.0</v>
      </c>
    </row>
    <row r="345">
      <c r="A345" s="9"/>
      <c r="B345" s="9"/>
      <c r="C345" s="9"/>
      <c r="D345" s="9"/>
      <c r="E345" s="9"/>
      <c r="F345" s="9"/>
      <c r="G345" s="9"/>
      <c r="H345" s="9"/>
      <c r="I345" s="9"/>
      <c r="J345" s="9"/>
      <c r="K345" s="7" t="s">
        <v>19</v>
      </c>
      <c r="L345" s="8">
        <v>800.0</v>
      </c>
    </row>
    <row r="346">
      <c r="A346" s="10"/>
      <c r="B346" s="10"/>
      <c r="C346" s="9"/>
      <c r="D346" s="10"/>
      <c r="E346" s="9"/>
      <c r="F346" s="10"/>
      <c r="G346" s="10"/>
      <c r="H346" s="10"/>
      <c r="I346" s="9"/>
      <c r="J346" s="9"/>
      <c r="K346" s="7" t="s">
        <v>246</v>
      </c>
      <c r="L346" s="8">
        <v>600.0</v>
      </c>
    </row>
    <row r="347">
      <c r="A347" s="5">
        <v>117.0</v>
      </c>
      <c r="B347" s="24" t="s">
        <v>393</v>
      </c>
      <c r="C347" s="5" t="s">
        <v>27</v>
      </c>
      <c r="D347" s="5">
        <v>1.0</v>
      </c>
      <c r="E347" s="5" t="s">
        <v>152</v>
      </c>
      <c r="F347" s="5" t="s">
        <v>14</v>
      </c>
      <c r="G347" s="5" t="s">
        <v>394</v>
      </c>
      <c r="H347" s="5" t="s">
        <v>282</v>
      </c>
      <c r="I347" s="5" t="s">
        <v>117</v>
      </c>
      <c r="J347" s="5">
        <v>8.231001007E10</v>
      </c>
      <c r="K347" s="7" t="s">
        <v>14</v>
      </c>
      <c r="L347" s="8" t="s">
        <v>22</v>
      </c>
    </row>
    <row r="348">
      <c r="A348" s="9"/>
      <c r="B348" s="9"/>
      <c r="C348" s="9"/>
      <c r="D348" s="9"/>
      <c r="E348" s="9"/>
      <c r="F348" s="9"/>
      <c r="G348" s="9"/>
      <c r="H348" s="9"/>
      <c r="I348" s="9"/>
      <c r="J348" s="9"/>
      <c r="K348" s="7" t="s">
        <v>19</v>
      </c>
      <c r="L348" s="8" t="s">
        <v>83</v>
      </c>
    </row>
    <row r="349">
      <c r="A349" s="10"/>
      <c r="B349" s="9"/>
      <c r="C349" s="9"/>
      <c r="D349" s="10"/>
      <c r="E349" s="10"/>
      <c r="F349" s="10"/>
      <c r="G349" s="10"/>
      <c r="H349" s="10"/>
      <c r="I349" s="9"/>
      <c r="J349" s="9"/>
      <c r="K349" s="7" t="s">
        <v>21</v>
      </c>
      <c r="L349" s="8" t="s">
        <v>133</v>
      </c>
    </row>
    <row r="350">
      <c r="A350" s="5">
        <v>118.0</v>
      </c>
      <c r="B350" s="24" t="s">
        <v>395</v>
      </c>
      <c r="C350" s="5" t="s">
        <v>27</v>
      </c>
      <c r="D350" s="5">
        <v>1.0</v>
      </c>
      <c r="E350" s="5" t="s">
        <v>28</v>
      </c>
      <c r="F350" s="5" t="s">
        <v>160</v>
      </c>
      <c r="G350" s="5" t="s">
        <v>396</v>
      </c>
      <c r="H350" s="5" t="s">
        <v>142</v>
      </c>
      <c r="I350" s="5" t="s">
        <v>117</v>
      </c>
      <c r="J350" s="5">
        <v>8.231001007E10</v>
      </c>
      <c r="K350" s="7" t="s">
        <v>14</v>
      </c>
      <c r="L350" s="8" t="s">
        <v>84</v>
      </c>
    </row>
    <row r="351">
      <c r="A351" s="9"/>
      <c r="B351" s="9"/>
      <c r="C351" s="9"/>
      <c r="D351" s="9"/>
      <c r="E351" s="9"/>
      <c r="F351" s="9"/>
      <c r="G351" s="9"/>
      <c r="H351" s="9"/>
      <c r="I351" s="9"/>
      <c r="J351" s="9"/>
      <c r="K351" s="7" t="s">
        <v>19</v>
      </c>
      <c r="L351" s="7" t="s">
        <v>32</v>
      </c>
    </row>
    <row r="352">
      <c r="A352" s="10"/>
      <c r="B352" s="10"/>
      <c r="C352" s="9"/>
      <c r="D352" s="10"/>
      <c r="E352" s="10"/>
      <c r="F352" s="10"/>
      <c r="G352" s="10"/>
      <c r="H352" s="10"/>
      <c r="I352" s="9"/>
      <c r="J352" s="9"/>
      <c r="K352" s="7" t="s">
        <v>21</v>
      </c>
      <c r="L352" s="7" t="s">
        <v>32</v>
      </c>
    </row>
    <row r="353">
      <c r="A353" s="5">
        <v>119.0</v>
      </c>
      <c r="B353" s="24" t="s">
        <v>397</v>
      </c>
      <c r="C353" s="5" t="s">
        <v>12</v>
      </c>
      <c r="D353" s="5">
        <v>3.0</v>
      </c>
      <c r="E353" s="5" t="s">
        <v>398</v>
      </c>
      <c r="F353" s="5" t="s">
        <v>160</v>
      </c>
      <c r="G353" s="5" t="s">
        <v>399</v>
      </c>
      <c r="H353" s="5" t="s">
        <v>142</v>
      </c>
      <c r="I353" s="5" t="s">
        <v>117</v>
      </c>
      <c r="J353" s="5">
        <v>8.231001007E10</v>
      </c>
      <c r="K353" s="7" t="s">
        <v>189</v>
      </c>
      <c r="L353" s="8" t="s">
        <v>65</v>
      </c>
    </row>
    <row r="354">
      <c r="A354" s="9"/>
      <c r="B354" s="9"/>
      <c r="C354" s="9"/>
      <c r="D354" s="9"/>
      <c r="E354" s="9"/>
      <c r="F354" s="9"/>
      <c r="G354" s="9"/>
      <c r="H354" s="9"/>
      <c r="I354" s="9"/>
      <c r="J354" s="9"/>
      <c r="K354" s="7" t="s">
        <v>19</v>
      </c>
      <c r="L354" s="8" t="s">
        <v>400</v>
      </c>
    </row>
    <row r="355">
      <c r="A355" s="10"/>
      <c r="B355" s="10"/>
      <c r="C355" s="9"/>
      <c r="D355" s="10"/>
      <c r="E355" s="10"/>
      <c r="F355" s="10"/>
      <c r="G355" s="10"/>
      <c r="H355" s="10"/>
      <c r="I355" s="9"/>
      <c r="J355" s="9"/>
      <c r="K355" s="7" t="s">
        <v>246</v>
      </c>
      <c r="L355" s="8" t="s">
        <v>401</v>
      </c>
    </row>
    <row r="356">
      <c r="A356" s="5">
        <v>120.0</v>
      </c>
      <c r="B356" s="24" t="s">
        <v>402</v>
      </c>
      <c r="C356" s="5" t="s">
        <v>12</v>
      </c>
      <c r="D356" s="5">
        <v>1.0</v>
      </c>
      <c r="E356" s="5" t="s">
        <v>187</v>
      </c>
      <c r="F356" s="5" t="s">
        <v>14</v>
      </c>
      <c r="G356" s="5" t="s">
        <v>403</v>
      </c>
      <c r="H356" s="5" t="s">
        <v>116</v>
      </c>
      <c r="I356" s="5" t="s">
        <v>117</v>
      </c>
      <c r="J356" s="5">
        <v>8.231001007E10</v>
      </c>
      <c r="K356" s="7" t="s">
        <v>14</v>
      </c>
      <c r="L356" s="8" t="s">
        <v>179</v>
      </c>
    </row>
    <row r="357">
      <c r="A357" s="9"/>
      <c r="B357" s="9"/>
      <c r="C357" s="9"/>
      <c r="D357" s="9"/>
      <c r="E357" s="9"/>
      <c r="F357" s="9"/>
      <c r="G357" s="9"/>
      <c r="H357" s="9"/>
      <c r="I357" s="9"/>
      <c r="J357" s="9"/>
      <c r="K357" s="7" t="s">
        <v>19</v>
      </c>
      <c r="L357" s="8" t="s">
        <v>143</v>
      </c>
    </row>
    <row r="358">
      <c r="A358" s="10"/>
      <c r="B358" s="10"/>
      <c r="C358" s="9"/>
      <c r="D358" s="10"/>
      <c r="E358" s="10"/>
      <c r="F358" s="10"/>
      <c r="G358" s="10"/>
      <c r="H358" s="10"/>
      <c r="I358" s="9"/>
      <c r="J358" s="9"/>
      <c r="K358" s="7" t="s">
        <v>21</v>
      </c>
      <c r="L358" s="8" t="s">
        <v>136</v>
      </c>
    </row>
    <row r="359">
      <c r="A359" s="5">
        <v>121.0</v>
      </c>
      <c r="B359" s="24" t="s">
        <v>404</v>
      </c>
      <c r="C359" s="5" t="s">
        <v>12</v>
      </c>
      <c r="D359" s="5">
        <v>1.0</v>
      </c>
      <c r="E359" s="5" t="s">
        <v>28</v>
      </c>
      <c r="F359" s="5" t="s">
        <v>14</v>
      </c>
      <c r="G359" s="5" t="s">
        <v>405</v>
      </c>
      <c r="H359" s="5" t="s">
        <v>116</v>
      </c>
      <c r="I359" s="5" t="s">
        <v>117</v>
      </c>
      <c r="J359" s="5">
        <v>8.231001007E10</v>
      </c>
      <c r="K359" s="7" t="s">
        <v>14</v>
      </c>
      <c r="L359" s="8" t="s">
        <v>143</v>
      </c>
    </row>
    <row r="360">
      <c r="A360" s="9"/>
      <c r="B360" s="9"/>
      <c r="C360" s="9"/>
      <c r="D360" s="9"/>
      <c r="E360" s="9"/>
      <c r="F360" s="9"/>
      <c r="G360" s="9"/>
      <c r="H360" s="9"/>
      <c r="I360" s="9"/>
      <c r="J360" s="9"/>
      <c r="K360" s="7" t="s">
        <v>19</v>
      </c>
      <c r="L360" s="8" t="s">
        <v>133</v>
      </c>
    </row>
    <row r="361">
      <c r="A361" s="10"/>
      <c r="B361" s="9"/>
      <c r="C361" s="9"/>
      <c r="D361" s="10"/>
      <c r="E361" s="10"/>
      <c r="F361" s="10"/>
      <c r="G361" s="10"/>
      <c r="H361" s="10"/>
      <c r="I361" s="9"/>
      <c r="J361" s="9"/>
      <c r="K361" s="7" t="s">
        <v>21</v>
      </c>
      <c r="L361" s="8" t="s">
        <v>72</v>
      </c>
    </row>
    <row r="362">
      <c r="A362" s="5">
        <v>122.0</v>
      </c>
      <c r="B362" s="24" t="s">
        <v>406</v>
      </c>
      <c r="C362" s="5" t="s">
        <v>12</v>
      </c>
      <c r="D362" s="5">
        <v>1.0</v>
      </c>
      <c r="E362" s="5" t="s">
        <v>28</v>
      </c>
      <c r="F362" s="5" t="s">
        <v>14</v>
      </c>
      <c r="G362" s="5" t="s">
        <v>407</v>
      </c>
      <c r="H362" s="5" t="s">
        <v>282</v>
      </c>
      <c r="I362" s="5" t="s">
        <v>117</v>
      </c>
      <c r="J362" s="5">
        <v>8.231001007E10</v>
      </c>
      <c r="K362" s="7" t="s">
        <v>14</v>
      </c>
      <c r="L362" s="8" t="s">
        <v>130</v>
      </c>
    </row>
    <row r="363">
      <c r="A363" s="9"/>
      <c r="B363" s="9"/>
      <c r="C363" s="9"/>
      <c r="D363" s="9"/>
      <c r="E363" s="9"/>
      <c r="F363" s="9"/>
      <c r="G363" s="9"/>
      <c r="H363" s="9"/>
      <c r="I363" s="9"/>
      <c r="J363" s="9"/>
      <c r="K363" s="7" t="s">
        <v>19</v>
      </c>
      <c r="L363" s="7" t="s">
        <v>32</v>
      </c>
    </row>
    <row r="364">
      <c r="A364" s="10"/>
      <c r="B364" s="9"/>
      <c r="C364" s="9"/>
      <c r="D364" s="10"/>
      <c r="E364" s="10"/>
      <c r="F364" s="10"/>
      <c r="G364" s="10"/>
      <c r="H364" s="10"/>
      <c r="I364" s="9"/>
      <c r="J364" s="9"/>
      <c r="K364" s="7" t="s">
        <v>21</v>
      </c>
      <c r="L364" s="7" t="s">
        <v>32</v>
      </c>
    </row>
    <row r="365">
      <c r="A365" s="5">
        <v>123.0</v>
      </c>
      <c r="B365" s="25" t="s">
        <v>408</v>
      </c>
      <c r="C365" s="5" t="s">
        <v>12</v>
      </c>
      <c r="D365" s="11"/>
      <c r="E365" s="11"/>
      <c r="F365" s="5" t="s">
        <v>160</v>
      </c>
      <c r="G365" s="5" t="s">
        <v>409</v>
      </c>
      <c r="H365" s="5" t="s">
        <v>328</v>
      </c>
      <c r="I365" s="5" t="s">
        <v>117</v>
      </c>
      <c r="J365" s="5">
        <v>8.231001007E10</v>
      </c>
      <c r="K365" s="7" t="s">
        <v>14</v>
      </c>
      <c r="L365" s="8" t="s">
        <v>57</v>
      </c>
    </row>
    <row r="366">
      <c r="A366" s="9"/>
      <c r="B366" s="9"/>
      <c r="C366" s="9"/>
      <c r="D366" s="9"/>
      <c r="E366" s="9"/>
      <c r="F366" s="9"/>
      <c r="G366" s="9"/>
      <c r="H366" s="9"/>
      <c r="I366" s="9"/>
      <c r="J366" s="9"/>
      <c r="K366" s="7" t="s">
        <v>19</v>
      </c>
      <c r="L366" s="8" t="s">
        <v>196</v>
      </c>
    </row>
    <row r="367">
      <c r="A367" s="10"/>
      <c r="B367" s="10"/>
      <c r="C367" s="9"/>
      <c r="D367" s="10"/>
      <c r="E367" s="10"/>
      <c r="F367" s="10"/>
      <c r="G367" s="10"/>
      <c r="H367" s="10"/>
      <c r="I367" s="9"/>
      <c r="J367" s="9"/>
      <c r="K367" s="7" t="s">
        <v>21</v>
      </c>
      <c r="L367" s="8" t="s">
        <v>410</v>
      </c>
    </row>
    <row r="368">
      <c r="A368" s="5">
        <v>124.0</v>
      </c>
      <c r="B368" s="24" t="s">
        <v>411</v>
      </c>
      <c r="C368" s="5" t="s">
        <v>12</v>
      </c>
      <c r="D368" s="11"/>
      <c r="E368" s="11"/>
      <c r="F368" s="5" t="s">
        <v>160</v>
      </c>
      <c r="G368" s="5" t="s">
        <v>412</v>
      </c>
      <c r="H368" s="5" t="s">
        <v>142</v>
      </c>
      <c r="I368" s="5" t="s">
        <v>117</v>
      </c>
      <c r="J368" s="5">
        <v>8.231001007E10</v>
      </c>
      <c r="K368" s="7" t="s">
        <v>14</v>
      </c>
      <c r="L368" s="8" t="s">
        <v>42</v>
      </c>
    </row>
    <row r="369">
      <c r="A369" s="9"/>
      <c r="B369" s="9"/>
      <c r="C369" s="9"/>
      <c r="D369" s="9"/>
      <c r="E369" s="9"/>
      <c r="F369" s="9"/>
      <c r="G369" s="9"/>
      <c r="H369" s="9"/>
      <c r="I369" s="9"/>
      <c r="J369" s="9"/>
      <c r="K369" s="7" t="s">
        <v>19</v>
      </c>
      <c r="L369" s="8" t="s">
        <v>222</v>
      </c>
    </row>
    <row r="370">
      <c r="A370" s="10"/>
      <c r="B370" s="10"/>
      <c r="C370" s="9"/>
      <c r="D370" s="10"/>
      <c r="E370" s="10"/>
      <c r="F370" s="10"/>
      <c r="G370" s="10"/>
      <c r="H370" s="10"/>
      <c r="I370" s="9"/>
      <c r="J370" s="9"/>
      <c r="K370" s="7" t="s">
        <v>21</v>
      </c>
      <c r="L370" s="8" t="s">
        <v>413</v>
      </c>
    </row>
    <row r="371">
      <c r="A371" s="5">
        <v>125.0</v>
      </c>
      <c r="B371" s="24" t="s">
        <v>414</v>
      </c>
      <c r="C371" s="5" t="s">
        <v>12</v>
      </c>
      <c r="D371" s="11"/>
      <c r="E371" s="11"/>
      <c r="F371" s="5" t="s">
        <v>160</v>
      </c>
      <c r="G371" s="5" t="s">
        <v>415</v>
      </c>
      <c r="H371" s="5" t="s">
        <v>375</v>
      </c>
      <c r="I371" s="5" t="s">
        <v>117</v>
      </c>
      <c r="J371" s="5">
        <v>8.231001007E10</v>
      </c>
      <c r="K371" s="7" t="s">
        <v>189</v>
      </c>
      <c r="L371" s="8" t="s">
        <v>48</v>
      </c>
    </row>
    <row r="372">
      <c r="A372" s="9"/>
      <c r="B372" s="9"/>
      <c r="C372" s="9"/>
      <c r="D372" s="9"/>
      <c r="E372" s="9"/>
      <c r="F372" s="9"/>
      <c r="G372" s="9"/>
      <c r="H372" s="9"/>
      <c r="I372" s="9"/>
      <c r="J372" s="9"/>
      <c r="K372" s="7" t="s">
        <v>19</v>
      </c>
      <c r="L372" s="8" t="s">
        <v>48</v>
      </c>
    </row>
    <row r="373">
      <c r="A373" s="10"/>
      <c r="B373" s="9"/>
      <c r="C373" s="9"/>
      <c r="D373" s="10"/>
      <c r="E373" s="10"/>
      <c r="F373" s="10"/>
      <c r="G373" s="10"/>
      <c r="H373" s="10"/>
      <c r="I373" s="9"/>
      <c r="J373" s="9"/>
      <c r="K373" s="7" t="s">
        <v>246</v>
      </c>
      <c r="L373" s="8" t="s">
        <v>106</v>
      </c>
    </row>
    <row r="374">
      <c r="A374" s="5">
        <v>126.0</v>
      </c>
      <c r="B374" s="24" t="s">
        <v>416</v>
      </c>
      <c r="C374" s="5" t="s">
        <v>27</v>
      </c>
      <c r="D374" s="5">
        <v>1.0</v>
      </c>
      <c r="E374" s="5" t="s">
        <v>187</v>
      </c>
      <c r="F374" s="5" t="s">
        <v>160</v>
      </c>
      <c r="G374" s="5" t="s">
        <v>96</v>
      </c>
      <c r="H374" s="5" t="s">
        <v>116</v>
      </c>
      <c r="I374" s="5" t="s">
        <v>117</v>
      </c>
      <c r="J374" s="5">
        <v>8.231001007E10</v>
      </c>
      <c r="K374" s="7" t="s">
        <v>14</v>
      </c>
      <c r="L374" s="8" t="s">
        <v>126</v>
      </c>
    </row>
    <row r="375">
      <c r="A375" s="9"/>
      <c r="B375" s="9"/>
      <c r="C375" s="9"/>
      <c r="D375" s="9"/>
      <c r="E375" s="9"/>
      <c r="F375" s="9"/>
      <c r="G375" s="9"/>
      <c r="H375" s="9"/>
      <c r="I375" s="9"/>
      <c r="J375" s="9"/>
      <c r="K375" s="7" t="s">
        <v>19</v>
      </c>
      <c r="L375" s="8" t="s">
        <v>43</v>
      </c>
    </row>
    <row r="376">
      <c r="A376" s="10"/>
      <c r="B376" s="10"/>
      <c r="C376" s="9"/>
      <c r="D376" s="10"/>
      <c r="E376" s="10"/>
      <c r="F376" s="10"/>
      <c r="G376" s="10"/>
      <c r="H376" s="10"/>
      <c r="I376" s="9"/>
      <c r="J376" s="9"/>
      <c r="K376" s="7" t="s">
        <v>21</v>
      </c>
      <c r="L376" s="8" t="s">
        <v>49</v>
      </c>
    </row>
    <row r="377">
      <c r="A377" s="5">
        <v>127.0</v>
      </c>
      <c r="B377" s="24" t="s">
        <v>417</v>
      </c>
      <c r="C377" s="5" t="s">
        <v>110</v>
      </c>
      <c r="D377" s="11"/>
      <c r="E377" s="11"/>
      <c r="F377" s="5" t="s">
        <v>14</v>
      </c>
      <c r="G377" s="5" t="s">
        <v>418</v>
      </c>
      <c r="H377" s="5" t="s">
        <v>116</v>
      </c>
      <c r="I377" s="5" t="s">
        <v>117</v>
      </c>
      <c r="J377" s="5">
        <v>8.231001007E10</v>
      </c>
      <c r="K377" s="7" t="s">
        <v>189</v>
      </c>
      <c r="L377" s="8">
        <v>750.0</v>
      </c>
    </row>
    <row r="378">
      <c r="A378" s="9"/>
      <c r="B378" s="9"/>
      <c r="C378" s="9"/>
      <c r="D378" s="9"/>
      <c r="E378" s="9"/>
      <c r="F378" s="9"/>
      <c r="G378" s="9"/>
      <c r="H378" s="9"/>
      <c r="I378" s="9"/>
      <c r="J378" s="9"/>
      <c r="K378" s="7" t="s">
        <v>19</v>
      </c>
      <c r="L378" s="8" t="s">
        <v>400</v>
      </c>
    </row>
    <row r="379">
      <c r="A379" s="10"/>
      <c r="B379" s="10"/>
      <c r="C379" s="10"/>
      <c r="D379" s="10"/>
      <c r="E379" s="10"/>
      <c r="F379" s="10"/>
      <c r="G379" s="10"/>
      <c r="H379" s="10"/>
      <c r="I379" s="9"/>
      <c r="J379" s="9"/>
      <c r="K379" s="7" t="s">
        <v>246</v>
      </c>
      <c r="L379" s="8" t="s">
        <v>65</v>
      </c>
    </row>
    <row r="380">
      <c r="A380" s="5">
        <v>128.0</v>
      </c>
      <c r="B380" s="24" t="s">
        <v>419</v>
      </c>
      <c r="C380" s="5" t="s">
        <v>27</v>
      </c>
      <c r="D380" s="5">
        <v>3.0</v>
      </c>
      <c r="E380" s="5" t="s">
        <v>420</v>
      </c>
      <c r="F380" s="5" t="s">
        <v>160</v>
      </c>
      <c r="G380" s="5" t="s">
        <v>421</v>
      </c>
      <c r="H380" s="5" t="s">
        <v>116</v>
      </c>
      <c r="I380" s="5" t="s">
        <v>117</v>
      </c>
      <c r="J380" s="5">
        <v>8.231001007E10</v>
      </c>
      <c r="K380" s="7" t="s">
        <v>14</v>
      </c>
      <c r="L380" s="8" t="s">
        <v>222</v>
      </c>
    </row>
    <row r="381">
      <c r="A381" s="9"/>
      <c r="B381" s="9"/>
      <c r="C381" s="9"/>
      <c r="D381" s="9"/>
      <c r="E381" s="9"/>
      <c r="F381" s="9"/>
      <c r="G381" s="9"/>
      <c r="H381" s="9"/>
      <c r="I381" s="9"/>
      <c r="J381" s="9"/>
      <c r="K381" s="7" t="s">
        <v>19</v>
      </c>
      <c r="L381" s="8" t="s">
        <v>42</v>
      </c>
    </row>
    <row r="382">
      <c r="A382" s="10"/>
      <c r="B382" s="10"/>
      <c r="C382" s="9"/>
      <c r="D382" s="10"/>
      <c r="E382" s="10"/>
      <c r="F382" s="10"/>
      <c r="G382" s="10"/>
      <c r="H382" s="10"/>
      <c r="I382" s="9"/>
      <c r="J382" s="9"/>
      <c r="K382" s="7" t="s">
        <v>21</v>
      </c>
      <c r="L382" s="8" t="s">
        <v>48</v>
      </c>
    </row>
    <row r="383">
      <c r="A383" s="5">
        <v>129.0</v>
      </c>
      <c r="B383" s="24" t="s">
        <v>422</v>
      </c>
      <c r="C383" s="5" t="s">
        <v>12</v>
      </c>
      <c r="D383" s="5">
        <v>3.0</v>
      </c>
      <c r="E383" s="5" t="s">
        <v>423</v>
      </c>
      <c r="F383" s="5" t="s">
        <v>14</v>
      </c>
      <c r="G383" s="5" t="s">
        <v>424</v>
      </c>
      <c r="H383" s="5" t="s">
        <v>282</v>
      </c>
      <c r="I383" s="5" t="s">
        <v>117</v>
      </c>
      <c r="J383" s="5">
        <v>8.231001007E10</v>
      </c>
      <c r="K383" s="7" t="s">
        <v>14</v>
      </c>
      <c r="L383" s="8" t="s">
        <v>330</v>
      </c>
    </row>
    <row r="384">
      <c r="A384" s="9"/>
      <c r="B384" s="9"/>
      <c r="C384" s="9"/>
      <c r="D384" s="9"/>
      <c r="E384" s="9"/>
      <c r="F384" s="9"/>
      <c r="G384" s="9"/>
      <c r="H384" s="9"/>
      <c r="I384" s="9"/>
      <c r="J384" s="9"/>
      <c r="K384" s="7" t="s">
        <v>19</v>
      </c>
      <c r="L384" s="8" t="s">
        <v>349</v>
      </c>
    </row>
    <row r="385">
      <c r="A385" s="10"/>
      <c r="B385" s="10"/>
      <c r="C385" s="9"/>
      <c r="D385" s="10"/>
      <c r="E385" s="10"/>
      <c r="F385" s="10"/>
      <c r="G385" s="10"/>
      <c r="H385" s="10"/>
      <c r="I385" s="9"/>
      <c r="J385" s="9"/>
      <c r="K385" s="7" t="s">
        <v>21</v>
      </c>
      <c r="L385" s="8" t="s">
        <v>106</v>
      </c>
    </row>
    <row r="386">
      <c r="A386" s="26"/>
      <c r="B386" s="24" t="s">
        <v>425</v>
      </c>
      <c r="C386" s="5" t="s">
        <v>27</v>
      </c>
      <c r="D386" s="5">
        <v>1.0</v>
      </c>
      <c r="E386" s="5" t="s">
        <v>187</v>
      </c>
      <c r="F386" s="5" t="s">
        <v>160</v>
      </c>
      <c r="G386" s="5" t="s">
        <v>369</v>
      </c>
      <c r="H386" s="5" t="s">
        <v>146</v>
      </c>
      <c r="I386" s="5" t="s">
        <v>117</v>
      </c>
      <c r="J386" s="5">
        <v>8.231001007E10</v>
      </c>
      <c r="K386" s="7" t="s">
        <v>14</v>
      </c>
      <c r="L386" s="8" t="s">
        <v>53</v>
      </c>
    </row>
    <row r="387">
      <c r="A387" s="9"/>
      <c r="B387" s="9"/>
      <c r="C387" s="9"/>
      <c r="D387" s="9"/>
      <c r="E387" s="9"/>
      <c r="F387" s="9"/>
      <c r="G387" s="9"/>
      <c r="H387" s="9"/>
      <c r="I387" s="9"/>
      <c r="J387" s="9"/>
      <c r="K387" s="7" t="s">
        <v>19</v>
      </c>
      <c r="L387" s="8" t="s">
        <v>57</v>
      </c>
    </row>
    <row r="388">
      <c r="A388" s="10"/>
      <c r="B388" s="10"/>
      <c r="C388" s="9"/>
      <c r="D388" s="10"/>
      <c r="E388" s="10"/>
      <c r="F388" s="10"/>
      <c r="G388" s="10"/>
      <c r="H388" s="9"/>
      <c r="I388" s="9"/>
      <c r="J388" s="9"/>
      <c r="K388" s="7" t="s">
        <v>21</v>
      </c>
      <c r="L388" s="8" t="s">
        <v>43</v>
      </c>
    </row>
    <row r="389">
      <c r="A389" s="5">
        <v>130.0</v>
      </c>
      <c r="B389" s="24" t="s">
        <v>426</v>
      </c>
      <c r="C389" s="5" t="s">
        <v>12</v>
      </c>
      <c r="D389" s="5">
        <v>1.0</v>
      </c>
      <c r="E389" s="5" t="s">
        <v>28</v>
      </c>
      <c r="F389" s="5" t="s">
        <v>14</v>
      </c>
      <c r="G389" s="5" t="s">
        <v>427</v>
      </c>
      <c r="H389" s="5" t="s">
        <v>282</v>
      </c>
      <c r="I389" s="5" t="s">
        <v>117</v>
      </c>
      <c r="J389" s="5">
        <v>8.231001007E10</v>
      </c>
      <c r="K389" s="7" t="s">
        <v>14</v>
      </c>
      <c r="L389" s="8" t="s">
        <v>22</v>
      </c>
    </row>
    <row r="390">
      <c r="A390" s="9"/>
      <c r="B390" s="9"/>
      <c r="C390" s="9"/>
      <c r="D390" s="9"/>
      <c r="E390" s="9"/>
      <c r="F390" s="9"/>
      <c r="G390" s="9"/>
      <c r="H390" s="9"/>
      <c r="I390" s="9"/>
      <c r="J390" s="9"/>
      <c r="K390" s="7" t="s">
        <v>19</v>
      </c>
      <c r="L390" s="8" t="s">
        <v>133</v>
      </c>
    </row>
    <row r="391">
      <c r="A391" s="10"/>
      <c r="B391" s="10"/>
      <c r="C391" s="9"/>
      <c r="D391" s="10"/>
      <c r="E391" s="9"/>
      <c r="F391" s="9"/>
      <c r="G391" s="10"/>
      <c r="H391" s="10"/>
      <c r="I391" s="9"/>
      <c r="J391" s="9"/>
      <c r="K391" s="7" t="s">
        <v>21</v>
      </c>
      <c r="L391" s="8" t="s">
        <v>143</v>
      </c>
    </row>
    <row r="392">
      <c r="A392" s="5">
        <v>131.0</v>
      </c>
      <c r="B392" s="24" t="s">
        <v>428</v>
      </c>
      <c r="C392" s="5" t="s">
        <v>27</v>
      </c>
      <c r="D392" s="5">
        <v>1.0</v>
      </c>
      <c r="E392" s="5" t="s">
        <v>385</v>
      </c>
      <c r="F392" s="5" t="s">
        <v>14</v>
      </c>
      <c r="G392" s="5" t="s">
        <v>429</v>
      </c>
      <c r="H392" s="5" t="s">
        <v>116</v>
      </c>
      <c r="I392" s="5" t="s">
        <v>117</v>
      </c>
      <c r="J392" s="5">
        <v>8.231001007E10</v>
      </c>
      <c r="K392" s="7" t="s">
        <v>14</v>
      </c>
      <c r="L392" s="8" t="s">
        <v>143</v>
      </c>
    </row>
    <row r="393">
      <c r="A393" s="9"/>
      <c r="B393" s="9"/>
      <c r="C393" s="9"/>
      <c r="D393" s="9"/>
      <c r="E393" s="9"/>
      <c r="F393" s="9"/>
      <c r="G393" s="9"/>
      <c r="H393" s="9"/>
      <c r="I393" s="9"/>
      <c r="J393" s="9"/>
      <c r="K393" s="7" t="s">
        <v>19</v>
      </c>
      <c r="L393" s="7" t="s">
        <v>32</v>
      </c>
    </row>
    <row r="394">
      <c r="A394" s="10"/>
      <c r="B394" s="10"/>
      <c r="C394" s="9"/>
      <c r="D394" s="10"/>
      <c r="E394" s="9"/>
      <c r="F394" s="10"/>
      <c r="G394" s="10"/>
      <c r="H394" s="10"/>
      <c r="I394" s="9"/>
      <c r="J394" s="9"/>
      <c r="K394" s="7" t="s">
        <v>21</v>
      </c>
      <c r="L394" s="7" t="s">
        <v>32</v>
      </c>
    </row>
    <row r="395">
      <c r="A395" s="5">
        <v>132.0</v>
      </c>
      <c r="B395" s="24" t="s">
        <v>430</v>
      </c>
      <c r="C395" s="5" t="s">
        <v>27</v>
      </c>
      <c r="D395" s="5">
        <v>2.0</v>
      </c>
      <c r="E395" s="5" t="s">
        <v>138</v>
      </c>
      <c r="F395" s="5" t="s">
        <v>14</v>
      </c>
      <c r="G395" s="5" t="s">
        <v>431</v>
      </c>
      <c r="H395" s="5" t="s">
        <v>142</v>
      </c>
      <c r="I395" s="5" t="s">
        <v>117</v>
      </c>
      <c r="J395" s="5">
        <v>8.231001007E10</v>
      </c>
      <c r="K395" s="7" t="s">
        <v>14</v>
      </c>
      <c r="L395" s="8" t="s">
        <v>372</v>
      </c>
    </row>
    <row r="396">
      <c r="A396" s="9"/>
      <c r="B396" s="9"/>
      <c r="C396" s="9"/>
      <c r="D396" s="9"/>
      <c r="E396" s="9"/>
      <c r="F396" s="9"/>
      <c r="G396" s="9"/>
      <c r="H396" s="9"/>
      <c r="I396" s="9"/>
      <c r="J396" s="9"/>
      <c r="K396" s="7" t="s">
        <v>19</v>
      </c>
      <c r="L396" s="8" t="s">
        <v>18</v>
      </c>
    </row>
    <row r="397">
      <c r="A397" s="10"/>
      <c r="B397" s="10"/>
      <c r="C397" s="9"/>
      <c r="D397" s="10"/>
      <c r="E397" s="9"/>
      <c r="F397" s="10"/>
      <c r="G397" s="10"/>
      <c r="H397" s="10"/>
      <c r="I397" s="9"/>
      <c r="J397" s="9"/>
      <c r="K397" s="7" t="s">
        <v>21</v>
      </c>
      <c r="L397" s="8" t="s">
        <v>196</v>
      </c>
    </row>
    <row r="398">
      <c r="A398" s="5">
        <v>133.0</v>
      </c>
      <c r="B398" s="24" t="s">
        <v>432</v>
      </c>
      <c r="C398" s="5" t="s">
        <v>27</v>
      </c>
      <c r="D398" s="5">
        <v>2.0</v>
      </c>
      <c r="E398" s="5" t="s">
        <v>63</v>
      </c>
      <c r="F398" s="5" t="s">
        <v>160</v>
      </c>
      <c r="G398" s="5" t="s">
        <v>433</v>
      </c>
      <c r="H398" s="5" t="s">
        <v>116</v>
      </c>
      <c r="I398" s="5" t="s">
        <v>117</v>
      </c>
      <c r="J398" s="5">
        <v>8.231001007E10</v>
      </c>
      <c r="K398" s="7" t="s">
        <v>14</v>
      </c>
      <c r="L398" s="8" t="s">
        <v>22</v>
      </c>
    </row>
    <row r="399">
      <c r="A399" s="9"/>
      <c r="B399" s="9"/>
      <c r="C399" s="9"/>
      <c r="D399" s="9"/>
      <c r="E399" s="9"/>
      <c r="F399" s="9"/>
      <c r="G399" s="9"/>
      <c r="H399" s="9"/>
      <c r="I399" s="9"/>
      <c r="J399" s="9"/>
      <c r="K399" s="7" t="s">
        <v>19</v>
      </c>
      <c r="L399" s="8" t="s">
        <v>20</v>
      </c>
    </row>
    <row r="400">
      <c r="A400" s="10"/>
      <c r="B400" s="10"/>
      <c r="C400" s="9"/>
      <c r="D400" s="10"/>
      <c r="E400" s="9"/>
      <c r="F400" s="10"/>
      <c r="G400" s="10"/>
      <c r="H400" s="10"/>
      <c r="I400" s="9"/>
      <c r="J400" s="9"/>
      <c r="K400" s="7" t="s">
        <v>21</v>
      </c>
      <c r="L400" s="8" t="s">
        <v>400</v>
      </c>
    </row>
    <row r="401">
      <c r="A401" s="5">
        <v>134.0</v>
      </c>
      <c r="B401" s="24" t="s">
        <v>434</v>
      </c>
      <c r="C401" s="5" t="s">
        <v>27</v>
      </c>
      <c r="D401" s="5">
        <v>2.0</v>
      </c>
      <c r="E401" s="5" t="s">
        <v>174</v>
      </c>
      <c r="F401" s="5" t="s">
        <v>160</v>
      </c>
      <c r="G401" s="5" t="s">
        <v>233</v>
      </c>
      <c r="H401" s="5" t="s">
        <v>282</v>
      </c>
      <c r="I401" s="5" t="s">
        <v>117</v>
      </c>
      <c r="J401" s="5">
        <v>8.231001007E10</v>
      </c>
      <c r="K401" s="7" t="s">
        <v>14</v>
      </c>
      <c r="L401" s="8">
        <v>800.0</v>
      </c>
    </row>
    <row r="402">
      <c r="A402" s="9"/>
      <c r="B402" s="9"/>
      <c r="C402" s="9"/>
      <c r="D402" s="9"/>
      <c r="E402" s="9"/>
      <c r="F402" s="9"/>
      <c r="G402" s="9"/>
      <c r="H402" s="9"/>
      <c r="I402" s="9"/>
      <c r="J402" s="9"/>
      <c r="K402" s="7" t="s">
        <v>19</v>
      </c>
      <c r="L402" s="8" t="s">
        <v>18</v>
      </c>
    </row>
    <row r="403">
      <c r="A403" s="10"/>
      <c r="B403" s="10"/>
      <c r="C403" s="9"/>
      <c r="D403" s="10"/>
      <c r="E403" s="9"/>
      <c r="F403" s="10"/>
      <c r="G403" s="10"/>
      <c r="H403" s="10"/>
      <c r="I403" s="9"/>
      <c r="J403" s="9"/>
      <c r="K403" s="7" t="s">
        <v>21</v>
      </c>
      <c r="L403" s="8" t="s">
        <v>196</v>
      </c>
    </row>
    <row r="404">
      <c r="A404" s="5">
        <v>135.0</v>
      </c>
      <c r="B404" s="24" t="s">
        <v>435</v>
      </c>
      <c r="C404" s="5" t="s">
        <v>27</v>
      </c>
      <c r="D404" s="5">
        <v>2.0</v>
      </c>
      <c r="E404" s="5" t="s">
        <v>152</v>
      </c>
      <c r="F404" s="5" t="s">
        <v>14</v>
      </c>
      <c r="G404" s="5" t="s">
        <v>436</v>
      </c>
      <c r="H404" s="5" t="s">
        <v>142</v>
      </c>
      <c r="I404" s="5" t="s">
        <v>117</v>
      </c>
      <c r="J404" s="5">
        <v>8.231001007E10</v>
      </c>
      <c r="K404" s="7" t="s">
        <v>189</v>
      </c>
      <c r="L404" s="8">
        <v>500.0</v>
      </c>
    </row>
    <row r="405">
      <c r="A405" s="9"/>
      <c r="B405" s="9"/>
      <c r="C405" s="9"/>
      <c r="D405" s="9"/>
      <c r="E405" s="9"/>
      <c r="F405" s="9"/>
      <c r="G405" s="9"/>
      <c r="H405" s="9"/>
      <c r="I405" s="9"/>
      <c r="J405" s="9"/>
      <c r="K405" s="7" t="s">
        <v>19</v>
      </c>
      <c r="L405" s="8" t="s">
        <v>65</v>
      </c>
    </row>
    <row r="406">
      <c r="A406" s="10"/>
      <c r="B406" s="10"/>
      <c r="C406" s="9"/>
      <c r="D406" s="10"/>
      <c r="E406" s="9"/>
      <c r="F406" s="10"/>
      <c r="G406" s="10"/>
      <c r="H406" s="10"/>
      <c r="I406" s="9"/>
      <c r="J406" s="9"/>
      <c r="K406" s="7" t="s">
        <v>246</v>
      </c>
      <c r="L406" s="8">
        <v>800.0</v>
      </c>
    </row>
    <row r="407">
      <c r="A407" s="5">
        <v>136.0</v>
      </c>
      <c r="B407" s="24" t="s">
        <v>437</v>
      </c>
      <c r="C407" s="5" t="s">
        <v>12</v>
      </c>
      <c r="D407" s="5">
        <v>1.0</v>
      </c>
      <c r="E407" s="5" t="s">
        <v>438</v>
      </c>
      <c r="F407" s="5" t="s">
        <v>14</v>
      </c>
      <c r="G407" s="5" t="s">
        <v>439</v>
      </c>
      <c r="H407" s="5" t="s">
        <v>142</v>
      </c>
      <c r="I407" s="5" t="s">
        <v>117</v>
      </c>
      <c r="J407" s="5">
        <v>8.231001007E10</v>
      </c>
      <c r="K407" s="7" t="s">
        <v>14</v>
      </c>
      <c r="L407" s="8" t="s">
        <v>22</v>
      </c>
    </row>
    <row r="408">
      <c r="A408" s="9"/>
      <c r="B408" s="9"/>
      <c r="C408" s="9"/>
      <c r="D408" s="9"/>
      <c r="E408" s="9"/>
      <c r="F408" s="9"/>
      <c r="G408" s="9"/>
      <c r="H408" s="9"/>
      <c r="I408" s="9"/>
      <c r="J408" s="9"/>
      <c r="K408" s="7" t="s">
        <v>19</v>
      </c>
      <c r="L408" s="8" t="s">
        <v>65</v>
      </c>
    </row>
    <row r="409">
      <c r="A409" s="10"/>
      <c r="B409" s="10"/>
      <c r="C409" s="9"/>
      <c r="D409" s="10"/>
      <c r="E409" s="9"/>
      <c r="F409" s="10"/>
      <c r="G409" s="10"/>
      <c r="H409" s="10"/>
      <c r="I409" s="9"/>
      <c r="J409" s="9"/>
      <c r="K409" s="7" t="s">
        <v>21</v>
      </c>
      <c r="L409" s="7" t="s">
        <v>32</v>
      </c>
    </row>
    <row r="410">
      <c r="A410" s="5">
        <v>137.0</v>
      </c>
      <c r="B410" s="24" t="s">
        <v>440</v>
      </c>
      <c r="C410" s="5" t="s">
        <v>12</v>
      </c>
      <c r="D410" s="5">
        <v>3.0</v>
      </c>
      <c r="E410" s="5" t="s">
        <v>122</v>
      </c>
      <c r="F410" s="5" t="s">
        <v>14</v>
      </c>
      <c r="G410" s="5" t="s">
        <v>441</v>
      </c>
      <c r="H410" s="5" t="s">
        <v>142</v>
      </c>
      <c r="I410" s="5" t="s">
        <v>117</v>
      </c>
      <c r="J410" s="5">
        <v>8.231001007E10</v>
      </c>
      <c r="K410" s="7" t="s">
        <v>14</v>
      </c>
      <c r="L410" s="8" t="s">
        <v>53</v>
      </c>
    </row>
    <row r="411">
      <c r="A411" s="9"/>
      <c r="B411" s="9"/>
      <c r="C411" s="9"/>
      <c r="D411" s="9"/>
      <c r="E411" s="9"/>
      <c r="F411" s="9"/>
      <c r="G411" s="9"/>
      <c r="H411" s="9"/>
      <c r="I411" s="9"/>
      <c r="J411" s="9"/>
      <c r="K411" s="7" t="s">
        <v>19</v>
      </c>
      <c r="L411" s="8" t="s">
        <v>22</v>
      </c>
    </row>
    <row r="412">
      <c r="A412" s="10"/>
      <c r="B412" s="10"/>
      <c r="C412" s="9"/>
      <c r="D412" s="10"/>
      <c r="E412" s="9"/>
      <c r="F412" s="10"/>
      <c r="G412" s="10"/>
      <c r="H412" s="10"/>
      <c r="I412" s="9"/>
      <c r="J412" s="9"/>
      <c r="K412" s="7" t="s">
        <v>21</v>
      </c>
      <c r="L412" s="8" t="s">
        <v>210</v>
      </c>
    </row>
    <row r="413">
      <c r="A413" s="5">
        <v>138.0</v>
      </c>
      <c r="B413" s="24" t="s">
        <v>442</v>
      </c>
      <c r="C413" s="5" t="s">
        <v>27</v>
      </c>
      <c r="D413" s="5">
        <v>1.0</v>
      </c>
      <c r="E413" s="5" t="s">
        <v>443</v>
      </c>
      <c r="F413" s="5" t="s">
        <v>14</v>
      </c>
      <c r="G413" s="5" t="s">
        <v>444</v>
      </c>
      <c r="H413" s="5" t="s">
        <v>116</v>
      </c>
      <c r="I413" s="5" t="s">
        <v>117</v>
      </c>
      <c r="J413" s="5">
        <v>8.231001007E10</v>
      </c>
      <c r="K413" s="7" t="s">
        <v>14</v>
      </c>
      <c r="L413" s="8" t="s">
        <v>335</v>
      </c>
    </row>
    <row r="414">
      <c r="A414" s="9"/>
      <c r="B414" s="9"/>
      <c r="C414" s="9"/>
      <c r="D414" s="9"/>
      <c r="E414" s="9"/>
      <c r="F414" s="9"/>
      <c r="G414" s="9"/>
      <c r="H414" s="9"/>
      <c r="I414" s="9"/>
      <c r="J414" s="9"/>
      <c r="K414" s="7" t="s">
        <v>19</v>
      </c>
      <c r="L414" s="8" t="s">
        <v>445</v>
      </c>
    </row>
    <row r="415">
      <c r="A415" s="10"/>
      <c r="B415" s="10"/>
      <c r="C415" s="9"/>
      <c r="D415" s="10"/>
      <c r="E415" s="9"/>
      <c r="F415" s="10"/>
      <c r="G415" s="10"/>
      <c r="H415" s="10"/>
      <c r="I415" s="9"/>
      <c r="J415" s="9"/>
      <c r="K415" s="7" t="s">
        <v>21</v>
      </c>
      <c r="L415" s="8" t="s">
        <v>275</v>
      </c>
    </row>
    <row r="416">
      <c r="A416" s="5">
        <v>139.0</v>
      </c>
      <c r="B416" s="24" t="s">
        <v>446</v>
      </c>
      <c r="C416" s="5" t="s">
        <v>12</v>
      </c>
      <c r="D416" s="5">
        <v>3.0</v>
      </c>
      <c r="E416" s="5" t="s">
        <v>28</v>
      </c>
      <c r="F416" s="5" t="s">
        <v>160</v>
      </c>
      <c r="G416" s="5" t="s">
        <v>447</v>
      </c>
      <c r="H416" s="5" t="s">
        <v>116</v>
      </c>
      <c r="I416" s="5" t="s">
        <v>117</v>
      </c>
      <c r="J416" s="5">
        <v>8.231001007E10</v>
      </c>
      <c r="K416" s="7" t="s">
        <v>14</v>
      </c>
      <c r="L416" s="8" t="s">
        <v>65</v>
      </c>
    </row>
    <row r="417">
      <c r="A417" s="9"/>
      <c r="B417" s="9"/>
      <c r="C417" s="9"/>
      <c r="D417" s="9"/>
      <c r="E417" s="9"/>
      <c r="F417" s="9"/>
      <c r="G417" s="9"/>
      <c r="H417" s="9"/>
      <c r="I417" s="9"/>
      <c r="J417" s="9"/>
      <c r="K417" s="7" t="s">
        <v>19</v>
      </c>
      <c r="L417" s="8" t="s">
        <v>57</v>
      </c>
    </row>
    <row r="418">
      <c r="A418" s="10"/>
      <c r="B418" s="10"/>
      <c r="C418" s="9"/>
      <c r="D418" s="10"/>
      <c r="E418" s="10"/>
      <c r="F418" s="10"/>
      <c r="G418" s="10"/>
      <c r="H418" s="10"/>
      <c r="I418" s="9"/>
      <c r="J418" s="9"/>
      <c r="K418" s="7" t="s">
        <v>21</v>
      </c>
      <c r="L418" s="8" t="s">
        <v>143</v>
      </c>
    </row>
    <row r="419">
      <c r="A419" s="5">
        <v>140.0</v>
      </c>
      <c r="B419" s="24" t="s">
        <v>448</v>
      </c>
      <c r="C419" s="5" t="s">
        <v>27</v>
      </c>
      <c r="D419" s="5">
        <v>1.0</v>
      </c>
      <c r="E419" s="5" t="s">
        <v>28</v>
      </c>
      <c r="F419" s="5" t="s">
        <v>14</v>
      </c>
      <c r="G419" s="5" t="s">
        <v>449</v>
      </c>
      <c r="H419" s="5" t="s">
        <v>116</v>
      </c>
      <c r="I419" s="5" t="s">
        <v>117</v>
      </c>
      <c r="J419" s="5">
        <v>8.231001007E10</v>
      </c>
      <c r="K419" s="7" t="s">
        <v>14</v>
      </c>
      <c r="L419" s="8">
        <v>600.0</v>
      </c>
    </row>
    <row r="420">
      <c r="A420" s="9"/>
      <c r="B420" s="9"/>
      <c r="C420" s="9"/>
      <c r="D420" s="9"/>
      <c r="E420" s="9"/>
      <c r="F420" s="9"/>
      <c r="G420" s="9"/>
      <c r="H420" s="9"/>
      <c r="I420" s="9"/>
      <c r="J420" s="9"/>
      <c r="K420" s="7" t="s">
        <v>19</v>
      </c>
      <c r="L420" s="7" t="s">
        <v>32</v>
      </c>
    </row>
    <row r="421">
      <c r="A421" s="10"/>
      <c r="B421" s="10"/>
      <c r="C421" s="9"/>
      <c r="D421" s="10"/>
      <c r="E421" s="10"/>
      <c r="F421" s="10"/>
      <c r="G421" s="10"/>
      <c r="H421" s="10"/>
      <c r="I421" s="9"/>
      <c r="J421" s="9"/>
      <c r="K421" s="7" t="s">
        <v>21</v>
      </c>
      <c r="L421" s="7" t="s">
        <v>32</v>
      </c>
    </row>
    <row r="422">
      <c r="A422" s="5">
        <v>141.0</v>
      </c>
      <c r="B422" s="24" t="s">
        <v>450</v>
      </c>
      <c r="C422" s="5" t="s">
        <v>12</v>
      </c>
      <c r="D422" s="5">
        <v>1.0</v>
      </c>
      <c r="E422" s="5" t="s">
        <v>28</v>
      </c>
      <c r="F422" s="5" t="s">
        <v>14</v>
      </c>
      <c r="G422" s="5" t="s">
        <v>451</v>
      </c>
      <c r="H422" s="5" t="s">
        <v>116</v>
      </c>
      <c r="I422" s="5" t="s">
        <v>117</v>
      </c>
      <c r="J422" s="5">
        <v>8.231001007E10</v>
      </c>
      <c r="K422" s="7" t="s">
        <v>14</v>
      </c>
      <c r="L422" s="8">
        <v>500.0</v>
      </c>
    </row>
    <row r="423">
      <c r="A423" s="9"/>
      <c r="B423" s="9"/>
      <c r="C423" s="9"/>
      <c r="D423" s="9"/>
      <c r="E423" s="9"/>
      <c r="F423" s="9"/>
      <c r="G423" s="9"/>
      <c r="H423" s="9"/>
      <c r="I423" s="9"/>
      <c r="J423" s="9"/>
      <c r="K423" s="7" t="s">
        <v>19</v>
      </c>
      <c r="L423" s="8">
        <v>750.0</v>
      </c>
    </row>
    <row r="424">
      <c r="A424" s="10"/>
      <c r="B424" s="10"/>
      <c r="C424" s="9"/>
      <c r="D424" s="10"/>
      <c r="E424" s="9"/>
      <c r="F424" s="10"/>
      <c r="G424" s="10"/>
      <c r="H424" s="10"/>
      <c r="I424" s="9"/>
      <c r="J424" s="9"/>
      <c r="K424" s="7" t="s">
        <v>21</v>
      </c>
      <c r="L424" s="8" t="s">
        <v>65</v>
      </c>
    </row>
    <row r="425">
      <c r="A425" s="5">
        <v>142.0</v>
      </c>
      <c r="B425" s="24" t="s">
        <v>452</v>
      </c>
      <c r="C425" s="5" t="s">
        <v>27</v>
      </c>
      <c r="D425" s="5">
        <v>1.0</v>
      </c>
      <c r="E425" s="5" t="s">
        <v>28</v>
      </c>
      <c r="F425" s="5" t="s">
        <v>14</v>
      </c>
      <c r="G425" s="5" t="s">
        <v>453</v>
      </c>
      <c r="H425" s="5" t="s">
        <v>116</v>
      </c>
      <c r="I425" s="5" t="s">
        <v>117</v>
      </c>
      <c r="J425" s="5">
        <v>8.231001007E10</v>
      </c>
      <c r="K425" s="7" t="s">
        <v>14</v>
      </c>
      <c r="L425" s="8">
        <v>900.0</v>
      </c>
    </row>
    <row r="426">
      <c r="A426" s="9"/>
      <c r="B426" s="9"/>
      <c r="C426" s="9"/>
      <c r="D426" s="9"/>
      <c r="E426" s="9"/>
      <c r="F426" s="9"/>
      <c r="G426" s="9"/>
      <c r="H426" s="9"/>
      <c r="I426" s="9"/>
      <c r="J426" s="9"/>
      <c r="K426" s="7" t="s">
        <v>19</v>
      </c>
      <c r="L426" s="8">
        <v>450.0</v>
      </c>
    </row>
    <row r="427">
      <c r="A427" s="10"/>
      <c r="B427" s="10"/>
      <c r="C427" s="9"/>
      <c r="D427" s="10"/>
      <c r="E427" s="9"/>
      <c r="F427" s="10"/>
      <c r="G427" s="10"/>
      <c r="H427" s="10"/>
      <c r="I427" s="9"/>
      <c r="J427" s="9"/>
      <c r="K427" s="7" t="s">
        <v>21</v>
      </c>
      <c r="L427" s="8" t="s">
        <v>20</v>
      </c>
    </row>
    <row r="428">
      <c r="A428" s="5">
        <v>143.0</v>
      </c>
      <c r="B428" s="24" t="s">
        <v>454</v>
      </c>
      <c r="C428" s="5" t="s">
        <v>12</v>
      </c>
      <c r="D428" s="5">
        <v>1.0</v>
      </c>
      <c r="E428" s="5" t="s">
        <v>28</v>
      </c>
      <c r="F428" s="5" t="s">
        <v>14</v>
      </c>
      <c r="G428" s="5" t="s">
        <v>455</v>
      </c>
      <c r="H428" s="5" t="s">
        <v>142</v>
      </c>
      <c r="I428" s="5" t="s">
        <v>117</v>
      </c>
      <c r="J428" s="5">
        <v>8.231001007E10</v>
      </c>
      <c r="K428" s="7" t="s">
        <v>14</v>
      </c>
      <c r="L428" s="8" t="s">
        <v>456</v>
      </c>
    </row>
    <row r="429">
      <c r="A429" s="9"/>
      <c r="B429" s="9"/>
      <c r="C429" s="9"/>
      <c r="D429" s="9"/>
      <c r="E429" s="9"/>
      <c r="F429" s="9"/>
      <c r="G429" s="9"/>
      <c r="H429" s="9"/>
      <c r="I429" s="9"/>
      <c r="J429" s="9"/>
      <c r="K429" s="7" t="s">
        <v>19</v>
      </c>
      <c r="L429" s="8" t="s">
        <v>84</v>
      </c>
    </row>
    <row r="430">
      <c r="A430" s="10"/>
      <c r="B430" s="10"/>
      <c r="C430" s="9"/>
      <c r="D430" s="10"/>
      <c r="E430" s="9"/>
      <c r="F430" s="10"/>
      <c r="G430" s="10"/>
      <c r="H430" s="10"/>
      <c r="I430" s="9"/>
      <c r="J430" s="9"/>
      <c r="K430" s="7" t="s">
        <v>21</v>
      </c>
      <c r="L430" s="8" t="s">
        <v>210</v>
      </c>
    </row>
    <row r="431">
      <c r="A431" s="5">
        <v>144.0</v>
      </c>
      <c r="B431" s="24" t="s">
        <v>457</v>
      </c>
      <c r="C431" s="5" t="s">
        <v>110</v>
      </c>
      <c r="D431" s="5">
        <v>1.0</v>
      </c>
      <c r="E431" s="5" t="s">
        <v>28</v>
      </c>
      <c r="F431" s="5" t="s">
        <v>160</v>
      </c>
      <c r="G431" s="5" t="s">
        <v>458</v>
      </c>
      <c r="H431" s="5" t="s">
        <v>116</v>
      </c>
      <c r="I431" s="5" t="s">
        <v>117</v>
      </c>
      <c r="J431" s="5">
        <v>8.231001007E10</v>
      </c>
      <c r="K431" s="7" t="s">
        <v>14</v>
      </c>
      <c r="L431" s="8" t="s">
        <v>106</v>
      </c>
    </row>
    <row r="432">
      <c r="A432" s="9"/>
      <c r="B432" s="9"/>
      <c r="C432" s="9"/>
      <c r="D432" s="9"/>
      <c r="E432" s="9"/>
      <c r="F432" s="9"/>
      <c r="G432" s="9"/>
      <c r="H432" s="9"/>
      <c r="I432" s="9"/>
      <c r="J432" s="9"/>
      <c r="K432" s="7" t="s">
        <v>19</v>
      </c>
      <c r="L432" s="8" t="s">
        <v>217</v>
      </c>
    </row>
    <row r="433">
      <c r="A433" s="10"/>
      <c r="B433" s="10"/>
      <c r="C433" s="10"/>
      <c r="D433" s="10"/>
      <c r="E433" s="9"/>
      <c r="F433" s="10"/>
      <c r="G433" s="10"/>
      <c r="H433" s="10"/>
      <c r="I433" s="9"/>
      <c r="J433" s="9"/>
      <c r="K433" s="7" t="s">
        <v>21</v>
      </c>
      <c r="L433" s="8" t="s">
        <v>118</v>
      </c>
    </row>
    <row r="434">
      <c r="A434" s="5">
        <v>145.0</v>
      </c>
      <c r="B434" s="24" t="s">
        <v>459</v>
      </c>
      <c r="C434" s="5" t="s">
        <v>110</v>
      </c>
      <c r="D434" s="5">
        <v>1.0</v>
      </c>
      <c r="E434" s="5" t="s">
        <v>28</v>
      </c>
      <c r="F434" s="5" t="s">
        <v>14</v>
      </c>
      <c r="G434" s="5" t="s">
        <v>460</v>
      </c>
      <c r="H434" s="5" t="s">
        <v>100</v>
      </c>
      <c r="I434" s="5" t="s">
        <v>461</v>
      </c>
      <c r="J434" s="5">
        <v>8.138906964E10</v>
      </c>
      <c r="K434" s="7" t="s">
        <v>14</v>
      </c>
      <c r="L434" s="8" t="s">
        <v>88</v>
      </c>
    </row>
    <row r="435">
      <c r="A435" s="9"/>
      <c r="B435" s="9"/>
      <c r="C435" s="9"/>
      <c r="D435" s="9"/>
      <c r="E435" s="9"/>
      <c r="F435" s="9"/>
      <c r="G435" s="9"/>
      <c r="H435" s="9"/>
      <c r="I435" s="9"/>
      <c r="J435" s="9"/>
      <c r="K435" s="7" t="s">
        <v>19</v>
      </c>
      <c r="L435" s="8" t="s">
        <v>39</v>
      </c>
    </row>
    <row r="436">
      <c r="A436" s="10"/>
      <c r="B436" s="10"/>
      <c r="C436" s="10"/>
      <c r="D436" s="10"/>
      <c r="E436" s="10"/>
      <c r="F436" s="10"/>
      <c r="G436" s="10"/>
      <c r="H436" s="10"/>
      <c r="I436" s="10"/>
      <c r="J436" s="10"/>
      <c r="K436" s="7" t="s">
        <v>21</v>
      </c>
      <c r="L436" s="8" t="s">
        <v>118</v>
      </c>
    </row>
    <row r="437">
      <c r="A437" s="5">
        <v>146.0</v>
      </c>
      <c r="B437" s="27"/>
      <c r="C437" s="5" t="s">
        <v>24</v>
      </c>
      <c r="D437" s="5">
        <v>1.0</v>
      </c>
      <c r="E437" s="5" t="s">
        <v>28</v>
      </c>
      <c r="F437" s="5" t="s">
        <v>14</v>
      </c>
      <c r="G437" s="11"/>
      <c r="H437" s="5" t="s">
        <v>100</v>
      </c>
      <c r="I437" s="5" t="s">
        <v>462</v>
      </c>
      <c r="J437" s="5">
        <v>8.2310237195E10</v>
      </c>
      <c r="K437" s="7" t="s">
        <v>14</v>
      </c>
      <c r="L437" s="8">
        <v>700.0</v>
      </c>
    </row>
    <row r="438">
      <c r="A438" s="9"/>
      <c r="B438" s="9"/>
      <c r="C438" s="9"/>
      <c r="D438" s="9"/>
      <c r="E438" s="9"/>
      <c r="F438" s="9"/>
      <c r="G438" s="9"/>
      <c r="H438" s="9"/>
      <c r="I438" s="9"/>
      <c r="J438" s="9"/>
      <c r="K438" s="7" t="s">
        <v>19</v>
      </c>
      <c r="L438" s="8" t="s">
        <v>22</v>
      </c>
    </row>
    <row r="439">
      <c r="A439" s="10"/>
      <c r="B439" s="10"/>
      <c r="C439" s="9"/>
      <c r="D439" s="10"/>
      <c r="E439" s="10"/>
      <c r="F439" s="10"/>
      <c r="G439" s="10"/>
      <c r="H439" s="10"/>
      <c r="I439" s="10"/>
      <c r="J439" s="10"/>
      <c r="K439" s="7" t="s">
        <v>190</v>
      </c>
      <c r="L439" s="8">
        <v>850.0</v>
      </c>
    </row>
    <row r="440">
      <c r="A440" s="5">
        <v>147.0</v>
      </c>
      <c r="B440" s="24" t="s">
        <v>463</v>
      </c>
      <c r="C440" s="5" t="s">
        <v>27</v>
      </c>
      <c r="D440" s="5">
        <v>1.0</v>
      </c>
      <c r="E440" s="5" t="s">
        <v>28</v>
      </c>
      <c r="F440" s="5" t="s">
        <v>160</v>
      </c>
      <c r="G440" s="5" t="s">
        <v>464</v>
      </c>
      <c r="H440" s="5" t="s">
        <v>465</v>
      </c>
      <c r="I440" s="18" t="s">
        <v>466</v>
      </c>
      <c r="J440" s="28"/>
      <c r="K440" s="7" t="s">
        <v>467</v>
      </c>
      <c r="L440" s="8" t="s">
        <v>65</v>
      </c>
    </row>
    <row r="441">
      <c r="A441" s="9"/>
      <c r="B441" s="9"/>
      <c r="C441" s="9"/>
      <c r="D441" s="9"/>
      <c r="E441" s="9"/>
      <c r="F441" s="9"/>
      <c r="G441" s="9"/>
      <c r="H441" s="9"/>
      <c r="I441" s="19"/>
      <c r="K441" s="7" t="s">
        <v>190</v>
      </c>
      <c r="L441" s="8" t="s">
        <v>72</v>
      </c>
    </row>
    <row r="442">
      <c r="A442" s="10"/>
      <c r="B442" s="10"/>
      <c r="C442" s="9"/>
      <c r="D442" s="10"/>
      <c r="E442" s="10"/>
      <c r="F442" s="10"/>
      <c r="G442" s="10"/>
      <c r="H442" s="10"/>
      <c r="I442" s="19"/>
      <c r="K442" s="7" t="s">
        <v>468</v>
      </c>
      <c r="L442" s="8" t="s">
        <v>126</v>
      </c>
    </row>
    <row r="443">
      <c r="A443" s="5">
        <v>148.0</v>
      </c>
      <c r="B443" s="24" t="s">
        <v>469</v>
      </c>
      <c r="C443" s="5" t="s">
        <v>27</v>
      </c>
      <c r="D443" s="5">
        <v>1.0</v>
      </c>
      <c r="E443" s="5" t="s">
        <v>28</v>
      </c>
      <c r="F443" s="5" t="s">
        <v>160</v>
      </c>
      <c r="G443" s="5" t="s">
        <v>470</v>
      </c>
      <c r="H443" s="5" t="s">
        <v>471</v>
      </c>
      <c r="I443" s="5" t="s">
        <v>105</v>
      </c>
      <c r="J443" s="5">
        <v>8.1283369977E10</v>
      </c>
      <c r="K443" s="5" t="s">
        <v>472</v>
      </c>
      <c r="L443" s="5" t="s">
        <v>275</v>
      </c>
    </row>
    <row r="444">
      <c r="A444" s="9"/>
      <c r="B444" s="9"/>
      <c r="C444" s="9"/>
      <c r="D444" s="9"/>
      <c r="E444" s="9"/>
      <c r="F444" s="9"/>
      <c r="G444" s="9"/>
      <c r="H444" s="9"/>
      <c r="I444" s="9"/>
      <c r="J444" s="9"/>
      <c r="K444" s="9"/>
      <c r="L444" s="9"/>
    </row>
    <row r="445">
      <c r="A445" s="10"/>
      <c r="B445" s="10"/>
      <c r="C445" s="9"/>
      <c r="D445" s="10"/>
      <c r="E445" s="10"/>
      <c r="F445" s="10"/>
      <c r="G445" s="10"/>
      <c r="H445" s="10"/>
      <c r="I445" s="10"/>
      <c r="J445" s="10"/>
      <c r="K445" s="9"/>
      <c r="L445" s="9"/>
    </row>
    <row r="446">
      <c r="A446" s="5">
        <v>149.0</v>
      </c>
      <c r="B446" s="29" t="s">
        <v>473</v>
      </c>
      <c r="C446" s="5" t="s">
        <v>24</v>
      </c>
      <c r="D446" s="30">
        <v>1.0</v>
      </c>
      <c r="E446" s="5" t="s">
        <v>13</v>
      </c>
      <c r="F446" s="5" t="s">
        <v>14</v>
      </c>
      <c r="G446" s="5">
        <v>3.646</v>
      </c>
      <c r="H446" s="5" t="s">
        <v>100</v>
      </c>
      <c r="I446" s="18" t="s">
        <v>474</v>
      </c>
      <c r="J446" s="28"/>
      <c r="K446" s="5" t="s">
        <v>475</v>
      </c>
      <c r="L446" s="5">
        <v>300.0</v>
      </c>
    </row>
    <row r="447">
      <c r="A447" s="9"/>
      <c r="B447" s="19"/>
      <c r="C447" s="9"/>
      <c r="D447" s="31"/>
      <c r="E447" s="9"/>
      <c r="F447" s="9"/>
      <c r="G447" s="9"/>
      <c r="H447" s="9"/>
      <c r="I447" s="19"/>
      <c r="K447" s="9"/>
      <c r="L447" s="9"/>
    </row>
    <row r="448">
      <c r="A448" s="10"/>
      <c r="B448" s="20"/>
      <c r="C448" s="10"/>
      <c r="D448" s="32"/>
      <c r="E448" s="10"/>
      <c r="F448" s="10"/>
      <c r="G448" s="10"/>
      <c r="H448" s="10"/>
      <c r="I448" s="19"/>
      <c r="K448" s="9"/>
      <c r="L448" s="9"/>
    </row>
    <row r="449">
      <c r="A449" s="5">
        <v>150.0</v>
      </c>
      <c r="B449" s="29" t="s">
        <v>476</v>
      </c>
      <c r="C449" s="5" t="s">
        <v>24</v>
      </c>
      <c r="D449" s="30">
        <v>1.0</v>
      </c>
      <c r="E449" s="5" t="s">
        <v>122</v>
      </c>
      <c r="F449" s="5" t="s">
        <v>14</v>
      </c>
      <c r="G449" s="5">
        <v>5.823</v>
      </c>
      <c r="H449" s="5" t="s">
        <v>465</v>
      </c>
      <c r="I449" s="5" t="s">
        <v>477</v>
      </c>
      <c r="J449" s="5">
        <v>8.7784593388E10</v>
      </c>
      <c r="K449" s="7" t="s">
        <v>14</v>
      </c>
      <c r="L449" s="12"/>
    </row>
    <row r="450">
      <c r="A450" s="9"/>
      <c r="B450" s="19"/>
      <c r="C450" s="9"/>
      <c r="D450" s="31"/>
      <c r="E450" s="9"/>
      <c r="F450" s="9"/>
      <c r="G450" s="9"/>
      <c r="H450" s="9"/>
      <c r="I450" s="9"/>
      <c r="J450" s="9"/>
      <c r="K450" s="7" t="s">
        <v>19</v>
      </c>
      <c r="L450" s="12"/>
    </row>
    <row r="451">
      <c r="A451" s="10"/>
      <c r="B451" s="20"/>
      <c r="C451" s="10"/>
      <c r="D451" s="32"/>
      <c r="E451" s="10"/>
      <c r="F451" s="10"/>
      <c r="G451" s="10"/>
      <c r="H451" s="10"/>
      <c r="I451" s="10"/>
      <c r="J451" s="10"/>
      <c r="K451" s="7" t="s">
        <v>21</v>
      </c>
      <c r="L451" s="12"/>
    </row>
    <row r="452">
      <c r="A452" s="5">
        <v>151.0</v>
      </c>
      <c r="B452" s="24" t="s">
        <v>478</v>
      </c>
      <c r="C452" s="33" t="s">
        <v>27</v>
      </c>
      <c r="D452" s="5">
        <v>1.0</v>
      </c>
      <c r="E452" s="5" t="s">
        <v>152</v>
      </c>
      <c r="F452" s="5" t="s">
        <v>14</v>
      </c>
      <c r="G452" s="5" t="s">
        <v>479</v>
      </c>
      <c r="H452" s="5" t="s">
        <v>465</v>
      </c>
      <c r="I452" s="11"/>
      <c r="J452" s="11"/>
      <c r="K452" s="7" t="s">
        <v>14</v>
      </c>
      <c r="L452" s="12"/>
    </row>
    <row r="453">
      <c r="A453" s="9"/>
      <c r="B453" s="9"/>
      <c r="C453" s="9"/>
      <c r="D453" s="9"/>
      <c r="E453" s="9"/>
      <c r="F453" s="9"/>
      <c r="G453" s="9"/>
      <c r="H453" s="9"/>
      <c r="I453" s="9"/>
      <c r="J453" s="9"/>
      <c r="K453" s="7" t="s">
        <v>19</v>
      </c>
      <c r="L453" s="12"/>
    </row>
    <row r="454">
      <c r="A454" s="10"/>
      <c r="B454" s="10"/>
      <c r="C454" s="9"/>
      <c r="D454" s="10"/>
      <c r="E454" s="10"/>
      <c r="F454" s="10"/>
      <c r="G454" s="10"/>
      <c r="H454" s="10"/>
      <c r="I454" s="10"/>
      <c r="J454" s="10"/>
      <c r="K454" s="7" t="s">
        <v>21</v>
      </c>
      <c r="L454" s="12"/>
    </row>
    <row r="455">
      <c r="A455" s="5">
        <v>152.0</v>
      </c>
      <c r="B455" s="24" t="s">
        <v>480</v>
      </c>
      <c r="C455" s="5" t="s">
        <v>24</v>
      </c>
      <c r="D455" s="5">
        <v>1.0</v>
      </c>
      <c r="E455" s="5" t="s">
        <v>152</v>
      </c>
      <c r="F455" s="5" t="s">
        <v>14</v>
      </c>
      <c r="G455" s="5">
        <v>2.241</v>
      </c>
      <c r="H455" s="5" t="s">
        <v>465</v>
      </c>
      <c r="I455" s="5" t="s">
        <v>481</v>
      </c>
      <c r="J455" s="5">
        <v>8.1312124561E10</v>
      </c>
      <c r="K455" s="7" t="s">
        <v>482</v>
      </c>
      <c r="L455" s="8">
        <v>800.0</v>
      </c>
    </row>
    <row r="456">
      <c r="A456" s="9"/>
      <c r="B456" s="9"/>
      <c r="C456" s="9"/>
      <c r="D456" s="9"/>
      <c r="E456" s="9"/>
      <c r="F456" s="9"/>
      <c r="G456" s="9"/>
      <c r="H456" s="9"/>
      <c r="I456" s="9"/>
      <c r="J456" s="9"/>
      <c r="K456" s="7" t="s">
        <v>483</v>
      </c>
      <c r="L456" s="8">
        <v>900.0</v>
      </c>
    </row>
    <row r="457">
      <c r="A457" s="10"/>
      <c r="B457" s="10"/>
      <c r="C457" s="9"/>
      <c r="D457" s="10"/>
      <c r="E457" s="10"/>
      <c r="F457" s="10"/>
      <c r="G457" s="10"/>
      <c r="H457" s="10"/>
      <c r="I457" s="10"/>
      <c r="J457" s="10"/>
      <c r="K457" s="7" t="s">
        <v>484</v>
      </c>
      <c r="L457" s="8" t="s">
        <v>22</v>
      </c>
    </row>
    <row r="458">
      <c r="A458" s="5">
        <v>153.0</v>
      </c>
      <c r="B458" s="24" t="s">
        <v>485</v>
      </c>
      <c r="C458" s="5" t="s">
        <v>24</v>
      </c>
      <c r="D458" s="5">
        <v>1.0</v>
      </c>
      <c r="E458" s="5" t="s">
        <v>28</v>
      </c>
      <c r="F458" s="5" t="s">
        <v>14</v>
      </c>
      <c r="G458" s="5">
        <v>5.58</v>
      </c>
      <c r="H458" s="5" t="s">
        <v>465</v>
      </c>
      <c r="I458" s="18" t="s">
        <v>486</v>
      </c>
      <c r="J458" s="28"/>
      <c r="K458" s="7" t="s">
        <v>14</v>
      </c>
      <c r="L458" s="8">
        <v>300.0</v>
      </c>
    </row>
    <row r="459">
      <c r="A459" s="9"/>
      <c r="B459" s="9"/>
      <c r="C459" s="9"/>
      <c r="D459" s="9"/>
      <c r="E459" s="9"/>
      <c r="F459" s="9"/>
      <c r="G459" s="9"/>
      <c r="H459" s="9"/>
      <c r="I459" s="19"/>
      <c r="K459" s="7" t="s">
        <v>19</v>
      </c>
      <c r="L459" s="8">
        <v>200.0</v>
      </c>
    </row>
    <row r="460">
      <c r="A460" s="10"/>
      <c r="B460" s="10"/>
      <c r="C460" s="9"/>
      <c r="D460" s="10"/>
      <c r="E460" s="10"/>
      <c r="F460" s="10"/>
      <c r="G460" s="10"/>
      <c r="H460" s="10"/>
      <c r="I460" s="19"/>
      <c r="K460" s="7" t="s">
        <v>190</v>
      </c>
      <c r="L460" s="8">
        <v>200.0</v>
      </c>
    </row>
    <row r="461">
      <c r="A461" s="5">
        <v>154.0</v>
      </c>
      <c r="B461" s="24" t="s">
        <v>487</v>
      </c>
      <c r="C461" s="5" t="s">
        <v>24</v>
      </c>
      <c r="D461" s="5">
        <v>1.0</v>
      </c>
      <c r="E461" s="5" t="s">
        <v>152</v>
      </c>
      <c r="F461" s="5" t="s">
        <v>14</v>
      </c>
      <c r="G461" s="5">
        <v>3.493</v>
      </c>
      <c r="H461" s="5" t="s">
        <v>465</v>
      </c>
      <c r="I461" s="11"/>
      <c r="J461" s="11"/>
      <c r="K461" s="5" t="s">
        <v>14</v>
      </c>
      <c r="L461" s="5" t="s">
        <v>488</v>
      </c>
    </row>
    <row r="462">
      <c r="A462" s="9"/>
      <c r="B462" s="9"/>
      <c r="C462" s="9"/>
      <c r="D462" s="9"/>
      <c r="E462" s="9"/>
      <c r="F462" s="9"/>
      <c r="G462" s="9"/>
      <c r="H462" s="9"/>
      <c r="I462" s="9"/>
      <c r="J462" s="9"/>
      <c r="K462" s="9"/>
      <c r="L462" s="9"/>
    </row>
    <row r="463">
      <c r="A463" s="10"/>
      <c r="B463" s="10"/>
      <c r="C463" s="9"/>
      <c r="D463" s="10"/>
      <c r="E463" s="10"/>
      <c r="F463" s="10"/>
      <c r="G463" s="10"/>
      <c r="H463" s="10"/>
      <c r="I463" s="10"/>
      <c r="J463" s="10"/>
      <c r="K463" s="9"/>
      <c r="L463" s="9"/>
    </row>
    <row r="464">
      <c r="A464" s="5">
        <v>155.0</v>
      </c>
      <c r="B464" s="24" t="s">
        <v>489</v>
      </c>
      <c r="C464" s="5" t="s">
        <v>27</v>
      </c>
      <c r="D464" s="5">
        <v>1.0</v>
      </c>
      <c r="E464" s="5" t="s">
        <v>28</v>
      </c>
      <c r="F464" s="5" t="s">
        <v>14</v>
      </c>
      <c r="G464" s="5" t="s">
        <v>490</v>
      </c>
      <c r="H464" s="5" t="s">
        <v>465</v>
      </c>
      <c r="I464" s="5" t="s">
        <v>491</v>
      </c>
      <c r="J464" s="5">
        <v>8.1282747959E10</v>
      </c>
      <c r="K464" s="5" t="s">
        <v>14</v>
      </c>
      <c r="L464" s="5">
        <v>400.0</v>
      </c>
    </row>
    <row r="465">
      <c r="A465" s="9"/>
      <c r="B465" s="9"/>
      <c r="C465" s="9"/>
      <c r="D465" s="9"/>
      <c r="E465" s="9"/>
      <c r="F465" s="9"/>
      <c r="G465" s="9"/>
      <c r="H465" s="9"/>
      <c r="I465" s="9"/>
      <c r="J465" s="9"/>
      <c r="K465" s="9"/>
      <c r="L465" s="9"/>
    </row>
    <row r="466">
      <c r="A466" s="10"/>
      <c r="B466" s="10"/>
      <c r="C466" s="9"/>
      <c r="D466" s="10"/>
      <c r="E466" s="10"/>
      <c r="F466" s="10"/>
      <c r="G466" s="10"/>
      <c r="H466" s="10"/>
      <c r="I466" s="10"/>
      <c r="J466" s="10"/>
      <c r="K466" s="9"/>
      <c r="L466" s="9"/>
    </row>
    <row r="467">
      <c r="A467" s="5">
        <v>156.0</v>
      </c>
      <c r="B467" s="24" t="s">
        <v>492</v>
      </c>
      <c r="C467" s="5" t="s">
        <v>27</v>
      </c>
      <c r="D467" s="5">
        <v>1.0</v>
      </c>
      <c r="E467" s="5" t="s">
        <v>28</v>
      </c>
      <c r="F467" s="5" t="s">
        <v>14</v>
      </c>
      <c r="G467" s="5" t="s">
        <v>493</v>
      </c>
      <c r="H467" s="5" t="s">
        <v>229</v>
      </c>
      <c r="I467" s="18" t="s">
        <v>494</v>
      </c>
      <c r="J467" s="28"/>
      <c r="K467" s="5" t="s">
        <v>14</v>
      </c>
      <c r="L467" s="5" t="s">
        <v>22</v>
      </c>
    </row>
    <row r="468">
      <c r="A468" s="9"/>
      <c r="B468" s="9"/>
      <c r="C468" s="9"/>
      <c r="D468" s="9"/>
      <c r="E468" s="9"/>
      <c r="F468" s="9"/>
      <c r="G468" s="9"/>
      <c r="H468" s="9"/>
      <c r="I468" s="19"/>
      <c r="K468" s="9"/>
      <c r="L468" s="9"/>
    </row>
    <row r="469">
      <c r="A469" s="10"/>
      <c r="B469" s="10"/>
      <c r="C469" s="9"/>
      <c r="D469" s="10"/>
      <c r="E469" s="10"/>
      <c r="F469" s="10"/>
      <c r="G469" s="10"/>
      <c r="H469" s="9"/>
      <c r="I469" s="19"/>
      <c r="K469" s="9"/>
      <c r="L469" s="9"/>
    </row>
    <row r="470">
      <c r="A470" s="5">
        <v>157.0</v>
      </c>
      <c r="B470" s="24" t="s">
        <v>495</v>
      </c>
      <c r="C470" s="5" t="s">
        <v>12</v>
      </c>
      <c r="D470" s="5">
        <v>1.0</v>
      </c>
      <c r="E470" s="5" t="s">
        <v>122</v>
      </c>
      <c r="F470" s="5" t="s">
        <v>14</v>
      </c>
      <c r="G470" s="5" t="s">
        <v>496</v>
      </c>
      <c r="H470" s="5" t="s">
        <v>465</v>
      </c>
      <c r="I470" s="5" t="s">
        <v>497</v>
      </c>
      <c r="J470" s="5">
        <v>8.5179666681E10</v>
      </c>
      <c r="K470" s="7" t="s">
        <v>14</v>
      </c>
      <c r="L470" s="8" t="s">
        <v>57</v>
      </c>
    </row>
    <row r="471">
      <c r="A471" s="9"/>
      <c r="B471" s="9"/>
      <c r="C471" s="9"/>
      <c r="D471" s="9"/>
      <c r="E471" s="9"/>
      <c r="F471" s="9"/>
      <c r="G471" s="9"/>
      <c r="H471" s="9"/>
      <c r="I471" s="9"/>
      <c r="J471" s="9"/>
      <c r="K471" s="7" t="s">
        <v>19</v>
      </c>
      <c r="L471" s="8" t="s">
        <v>57</v>
      </c>
    </row>
    <row r="472">
      <c r="A472" s="10"/>
      <c r="B472" s="10"/>
      <c r="C472" s="9"/>
      <c r="D472" s="10"/>
      <c r="E472" s="10"/>
      <c r="F472" s="10"/>
      <c r="G472" s="10"/>
      <c r="H472" s="10"/>
      <c r="I472" s="10"/>
      <c r="J472" s="10"/>
      <c r="K472" s="7" t="s">
        <v>498</v>
      </c>
      <c r="L472" s="8" t="s">
        <v>72</v>
      </c>
    </row>
    <row r="473">
      <c r="A473" s="5">
        <v>158.0</v>
      </c>
      <c r="B473" s="24" t="s">
        <v>499</v>
      </c>
      <c r="C473" s="5" t="s">
        <v>24</v>
      </c>
      <c r="D473" s="5">
        <v>1.0</v>
      </c>
      <c r="E473" s="5" t="s">
        <v>28</v>
      </c>
      <c r="F473" s="5" t="s">
        <v>14</v>
      </c>
      <c r="G473" s="5">
        <v>7.263</v>
      </c>
      <c r="H473" s="5" t="s">
        <v>100</v>
      </c>
      <c r="I473" s="5" t="s">
        <v>500</v>
      </c>
      <c r="J473" s="5">
        <v>8.5605352569E10</v>
      </c>
      <c r="K473" s="7" t="s">
        <v>14</v>
      </c>
      <c r="L473" s="12"/>
    </row>
    <row r="474">
      <c r="A474" s="9"/>
      <c r="B474" s="9"/>
      <c r="C474" s="9"/>
      <c r="D474" s="9"/>
      <c r="E474" s="9"/>
      <c r="F474" s="9"/>
      <c r="G474" s="9"/>
      <c r="H474" s="9"/>
      <c r="I474" s="9"/>
      <c r="J474" s="9"/>
      <c r="K474" s="7" t="s">
        <v>19</v>
      </c>
      <c r="L474" s="12"/>
    </row>
    <row r="475">
      <c r="A475" s="10"/>
      <c r="B475" s="10"/>
      <c r="C475" s="9"/>
      <c r="D475" s="10"/>
      <c r="E475" s="10"/>
      <c r="F475" s="10"/>
      <c r="G475" s="10"/>
      <c r="H475" s="10"/>
      <c r="I475" s="10"/>
      <c r="J475" s="10"/>
      <c r="K475" s="7" t="s">
        <v>21</v>
      </c>
      <c r="L475" s="12"/>
    </row>
    <row r="476">
      <c r="A476" s="5">
        <v>159.0</v>
      </c>
      <c r="B476" s="24" t="s">
        <v>501</v>
      </c>
      <c r="C476" s="5" t="s">
        <v>24</v>
      </c>
      <c r="D476" s="5">
        <v>1.0</v>
      </c>
      <c r="E476" s="5" t="s">
        <v>13</v>
      </c>
      <c r="F476" s="5" t="s">
        <v>14</v>
      </c>
      <c r="G476" s="5">
        <v>1.776</v>
      </c>
      <c r="H476" s="5" t="s">
        <v>100</v>
      </c>
      <c r="I476" s="18" t="s">
        <v>494</v>
      </c>
      <c r="J476" s="28"/>
      <c r="K476" s="18" t="s">
        <v>502</v>
      </c>
      <c r="L476" s="28"/>
    </row>
    <row r="477">
      <c r="A477" s="9"/>
      <c r="B477" s="9"/>
      <c r="C477" s="9"/>
      <c r="D477" s="9"/>
      <c r="E477" s="9"/>
      <c r="F477" s="9"/>
      <c r="G477" s="9"/>
      <c r="H477" s="9"/>
      <c r="I477" s="19"/>
      <c r="K477" s="19"/>
    </row>
    <row r="478">
      <c r="A478" s="10"/>
      <c r="B478" s="10"/>
      <c r="C478" s="9"/>
      <c r="D478" s="10"/>
      <c r="E478" s="10"/>
      <c r="F478" s="10"/>
      <c r="G478" s="10"/>
      <c r="H478" s="10"/>
      <c r="I478" s="19"/>
      <c r="K478" s="19"/>
    </row>
    <row r="479">
      <c r="A479" s="5">
        <v>160.0</v>
      </c>
      <c r="B479" s="24" t="s">
        <v>503</v>
      </c>
      <c r="C479" s="5" t="s">
        <v>27</v>
      </c>
      <c r="D479" s="5">
        <v>1.0</v>
      </c>
      <c r="E479" s="5" t="s">
        <v>152</v>
      </c>
      <c r="F479" s="5" t="s">
        <v>14</v>
      </c>
      <c r="G479" s="5" t="s">
        <v>504</v>
      </c>
      <c r="H479" s="5" t="s">
        <v>229</v>
      </c>
      <c r="I479" s="5" t="s">
        <v>505</v>
      </c>
      <c r="J479" s="5">
        <v>8.180796009E10</v>
      </c>
      <c r="K479" s="7" t="s">
        <v>14</v>
      </c>
      <c r="L479" s="8" t="s">
        <v>83</v>
      </c>
    </row>
    <row r="480">
      <c r="A480" s="9"/>
      <c r="B480" s="9"/>
      <c r="C480" s="9"/>
      <c r="D480" s="9"/>
      <c r="E480" s="9"/>
      <c r="F480" s="9"/>
      <c r="G480" s="9"/>
      <c r="H480" s="9"/>
      <c r="I480" s="9"/>
      <c r="J480" s="9"/>
      <c r="K480" s="7" t="s">
        <v>19</v>
      </c>
      <c r="L480" s="8" t="s">
        <v>83</v>
      </c>
    </row>
    <row r="481">
      <c r="A481" s="10"/>
      <c r="B481" s="10"/>
      <c r="C481" s="9"/>
      <c r="D481" s="10"/>
      <c r="E481" s="10"/>
      <c r="F481" s="10"/>
      <c r="G481" s="10"/>
      <c r="H481" s="10"/>
      <c r="I481" s="10"/>
      <c r="J481" s="10"/>
      <c r="K481" s="7" t="s">
        <v>21</v>
      </c>
      <c r="L481" s="8" t="s">
        <v>84</v>
      </c>
    </row>
    <row r="482">
      <c r="A482" s="5">
        <v>161.0</v>
      </c>
      <c r="B482" s="24" t="s">
        <v>506</v>
      </c>
      <c r="C482" s="5" t="s">
        <v>24</v>
      </c>
      <c r="D482" s="5">
        <v>1.0</v>
      </c>
      <c r="E482" s="5" t="s">
        <v>28</v>
      </c>
      <c r="F482" s="5" t="s">
        <v>14</v>
      </c>
      <c r="G482" s="5">
        <v>1.716</v>
      </c>
      <c r="H482" s="5" t="s">
        <v>507</v>
      </c>
      <c r="I482" s="5" t="s">
        <v>494</v>
      </c>
      <c r="J482" s="11"/>
      <c r="K482" s="7" t="s">
        <v>14</v>
      </c>
      <c r="L482" s="8">
        <v>800.0</v>
      </c>
    </row>
    <row r="483">
      <c r="A483" s="9"/>
      <c r="B483" s="9"/>
      <c r="C483" s="9"/>
      <c r="D483" s="9"/>
      <c r="E483" s="9"/>
      <c r="F483" s="9"/>
      <c r="G483" s="9"/>
      <c r="H483" s="9"/>
      <c r="I483" s="9"/>
      <c r="J483" s="9"/>
      <c r="K483" s="7" t="s">
        <v>19</v>
      </c>
      <c r="L483" s="12"/>
    </row>
    <row r="484">
      <c r="A484" s="10"/>
      <c r="B484" s="10"/>
      <c r="C484" s="9"/>
      <c r="D484" s="10"/>
      <c r="E484" s="10"/>
      <c r="F484" s="10"/>
      <c r="G484" s="10"/>
      <c r="H484" s="10"/>
      <c r="I484" s="10"/>
      <c r="J484" s="10"/>
      <c r="K484" s="7" t="s">
        <v>21</v>
      </c>
      <c r="L484" s="12"/>
    </row>
    <row r="485">
      <c r="A485" s="5">
        <v>162.0</v>
      </c>
      <c r="B485" s="24" t="s">
        <v>508</v>
      </c>
      <c r="C485" s="5" t="s">
        <v>27</v>
      </c>
      <c r="D485" s="5">
        <v>1.0</v>
      </c>
      <c r="E485" s="5" t="s">
        <v>208</v>
      </c>
      <c r="F485" s="5" t="s">
        <v>14</v>
      </c>
      <c r="G485" s="5" t="s">
        <v>509</v>
      </c>
      <c r="H485" s="5" t="s">
        <v>510</v>
      </c>
      <c r="I485" s="5" t="s">
        <v>511</v>
      </c>
      <c r="J485" s="5">
        <v>8.5885503981E10</v>
      </c>
      <c r="K485" s="7" t="s">
        <v>14</v>
      </c>
      <c r="L485" s="8" t="s">
        <v>130</v>
      </c>
    </row>
    <row r="486">
      <c r="A486" s="9"/>
      <c r="B486" s="9"/>
      <c r="C486" s="9"/>
      <c r="D486" s="9"/>
      <c r="E486" s="9"/>
      <c r="F486" s="9"/>
      <c r="G486" s="9"/>
      <c r="H486" s="9"/>
      <c r="I486" s="9"/>
      <c r="J486" s="9"/>
      <c r="K486" s="7" t="s">
        <v>19</v>
      </c>
      <c r="L486" s="8" t="s">
        <v>512</v>
      </c>
    </row>
    <row r="487">
      <c r="A487" s="10"/>
      <c r="B487" s="10"/>
      <c r="C487" s="9"/>
      <c r="D487" s="10"/>
      <c r="E487" s="10"/>
      <c r="F487" s="10"/>
      <c r="G487" s="10"/>
      <c r="H487" s="10"/>
      <c r="I487" s="10"/>
      <c r="J487" s="10"/>
      <c r="K487" s="7" t="s">
        <v>21</v>
      </c>
      <c r="L487" s="8" t="s">
        <v>210</v>
      </c>
    </row>
    <row r="488">
      <c r="A488" s="5">
        <v>163.0</v>
      </c>
      <c r="B488" s="24" t="s">
        <v>513</v>
      </c>
      <c r="C488" s="5" t="s">
        <v>12</v>
      </c>
      <c r="D488" s="5">
        <v>1.0</v>
      </c>
      <c r="E488" s="5" t="s">
        <v>385</v>
      </c>
      <c r="F488" s="5" t="s">
        <v>160</v>
      </c>
      <c r="G488" s="5" t="s">
        <v>514</v>
      </c>
      <c r="H488" s="5" t="s">
        <v>70</v>
      </c>
      <c r="I488" s="5" t="s">
        <v>515</v>
      </c>
      <c r="J488" s="5">
        <v>8.2141338098E10</v>
      </c>
      <c r="K488" s="7" t="s">
        <v>14</v>
      </c>
      <c r="L488" s="12"/>
    </row>
    <row r="489">
      <c r="A489" s="9"/>
      <c r="B489" s="9"/>
      <c r="C489" s="9"/>
      <c r="D489" s="9"/>
      <c r="E489" s="9"/>
      <c r="F489" s="9"/>
      <c r="G489" s="9"/>
      <c r="H489" s="9"/>
      <c r="I489" s="9"/>
      <c r="J489" s="9"/>
      <c r="K489" s="7" t="s">
        <v>19</v>
      </c>
      <c r="L489" s="12"/>
    </row>
    <row r="490">
      <c r="A490" s="10"/>
      <c r="B490" s="10"/>
      <c r="C490" s="9"/>
      <c r="D490" s="10"/>
      <c r="E490" s="10"/>
      <c r="F490" s="10"/>
      <c r="G490" s="10"/>
      <c r="H490" s="10"/>
      <c r="I490" s="10"/>
      <c r="J490" s="10"/>
      <c r="K490" s="7" t="s">
        <v>21</v>
      </c>
      <c r="L490" s="12"/>
    </row>
    <row r="491">
      <c r="A491" s="5">
        <v>164.0</v>
      </c>
      <c r="B491" s="24" t="s">
        <v>516</v>
      </c>
      <c r="C491" s="5" t="s">
        <v>27</v>
      </c>
      <c r="D491" s="5">
        <v>1.0</v>
      </c>
      <c r="E491" s="5" t="s">
        <v>13</v>
      </c>
      <c r="F491" s="5" t="s">
        <v>14</v>
      </c>
      <c r="G491" s="5" t="s">
        <v>517</v>
      </c>
      <c r="H491" s="5" t="s">
        <v>100</v>
      </c>
      <c r="I491" s="5" t="s">
        <v>518</v>
      </c>
      <c r="J491" s="5">
        <v>8.113111056E9</v>
      </c>
      <c r="K491" s="7" t="s">
        <v>519</v>
      </c>
      <c r="L491" s="8" t="s">
        <v>65</v>
      </c>
    </row>
    <row r="492">
      <c r="A492" s="9"/>
      <c r="B492" s="9"/>
      <c r="C492" s="9"/>
      <c r="D492" s="9"/>
      <c r="E492" s="9"/>
      <c r="F492" s="9"/>
      <c r="G492" s="9"/>
      <c r="H492" s="9"/>
      <c r="I492" s="9"/>
      <c r="J492" s="9"/>
      <c r="K492" s="7" t="s">
        <v>19</v>
      </c>
      <c r="L492" s="8" t="s">
        <v>126</v>
      </c>
    </row>
    <row r="493">
      <c r="A493" s="10"/>
      <c r="B493" s="10"/>
      <c r="C493" s="9"/>
      <c r="D493" s="10"/>
      <c r="E493" s="10"/>
      <c r="F493" s="10"/>
      <c r="G493" s="10"/>
      <c r="H493" s="10"/>
      <c r="I493" s="10"/>
      <c r="J493" s="10"/>
      <c r="K493" s="7" t="s">
        <v>520</v>
      </c>
      <c r="L493" s="8" t="s">
        <v>106</v>
      </c>
    </row>
    <row r="494">
      <c r="A494" s="5">
        <v>165.0</v>
      </c>
      <c r="B494" s="24" t="s">
        <v>521</v>
      </c>
      <c r="C494" s="5" t="s">
        <v>24</v>
      </c>
      <c r="D494" s="5">
        <v>2.0</v>
      </c>
      <c r="E494" s="5" t="s">
        <v>269</v>
      </c>
      <c r="F494" s="5" t="s">
        <v>14</v>
      </c>
      <c r="G494" s="5">
        <v>4.545</v>
      </c>
      <c r="H494" s="5" t="s">
        <v>100</v>
      </c>
      <c r="I494" s="5" t="s">
        <v>522</v>
      </c>
      <c r="J494" s="5">
        <v>8.2113595497E10</v>
      </c>
      <c r="K494" s="5" t="s">
        <v>14</v>
      </c>
      <c r="L494" s="5" t="s">
        <v>133</v>
      </c>
    </row>
    <row r="495">
      <c r="A495" s="9"/>
      <c r="B495" s="9"/>
      <c r="C495" s="9"/>
      <c r="D495" s="9"/>
      <c r="E495" s="9"/>
      <c r="F495" s="9"/>
      <c r="G495" s="9"/>
      <c r="H495" s="9"/>
      <c r="I495" s="9"/>
      <c r="J495" s="9"/>
      <c r="K495" s="9"/>
      <c r="L495" s="9"/>
    </row>
    <row r="496">
      <c r="A496" s="10"/>
      <c r="B496" s="10"/>
      <c r="C496" s="9"/>
      <c r="D496" s="10"/>
      <c r="E496" s="10"/>
      <c r="F496" s="10"/>
      <c r="G496" s="10"/>
      <c r="H496" s="10"/>
      <c r="I496" s="10"/>
      <c r="J496" s="10"/>
      <c r="K496" s="9"/>
      <c r="L496" s="9"/>
    </row>
    <row r="497">
      <c r="A497" s="5">
        <v>166.0</v>
      </c>
      <c r="B497" s="24" t="s">
        <v>523</v>
      </c>
      <c r="C497" s="5" t="s">
        <v>12</v>
      </c>
      <c r="D497" s="5">
        <v>2.0</v>
      </c>
      <c r="E497" s="5" t="s">
        <v>524</v>
      </c>
      <c r="F497" s="5" t="s">
        <v>14</v>
      </c>
      <c r="G497" s="5" t="s">
        <v>525</v>
      </c>
      <c r="H497" s="5" t="s">
        <v>100</v>
      </c>
      <c r="I497" s="18" t="s">
        <v>526</v>
      </c>
      <c r="J497" s="28"/>
      <c r="K497" s="7" t="s">
        <v>14</v>
      </c>
      <c r="L497" s="8" t="s">
        <v>84</v>
      </c>
    </row>
    <row r="498">
      <c r="A498" s="9"/>
      <c r="B498" s="9"/>
      <c r="C498" s="9"/>
      <c r="D498" s="9"/>
      <c r="E498" s="9"/>
      <c r="F498" s="9"/>
      <c r="G498" s="9"/>
      <c r="H498" s="9"/>
      <c r="I498" s="19"/>
      <c r="K498" s="7" t="s">
        <v>19</v>
      </c>
      <c r="L498" s="8" t="s">
        <v>179</v>
      </c>
    </row>
    <row r="499">
      <c r="A499" s="10"/>
      <c r="B499" s="10"/>
      <c r="C499" s="9"/>
      <c r="D499" s="10"/>
      <c r="E499" s="10"/>
      <c r="F499" s="10"/>
      <c r="G499" s="10"/>
      <c r="H499" s="10"/>
      <c r="I499" s="19"/>
      <c r="K499" s="7" t="s">
        <v>21</v>
      </c>
      <c r="L499" s="8" t="s">
        <v>130</v>
      </c>
    </row>
    <row r="500">
      <c r="A500" s="5">
        <v>167.0</v>
      </c>
      <c r="B500" s="24" t="s">
        <v>527</v>
      </c>
      <c r="C500" s="5" t="s">
        <v>24</v>
      </c>
      <c r="D500" s="5">
        <v>1.0</v>
      </c>
      <c r="E500" s="5" t="s">
        <v>28</v>
      </c>
      <c r="F500" s="5" t="s">
        <v>14</v>
      </c>
      <c r="G500" s="5">
        <v>6.732</v>
      </c>
      <c r="H500" s="5" t="s">
        <v>528</v>
      </c>
      <c r="I500" s="18" t="s">
        <v>494</v>
      </c>
      <c r="J500" s="28"/>
      <c r="K500" s="5" t="s">
        <v>14</v>
      </c>
      <c r="L500" s="5">
        <v>300.0</v>
      </c>
    </row>
    <row r="501">
      <c r="A501" s="9"/>
      <c r="B501" s="9"/>
      <c r="C501" s="9"/>
      <c r="D501" s="9"/>
      <c r="E501" s="9"/>
      <c r="F501" s="9"/>
      <c r="G501" s="9"/>
      <c r="H501" s="9"/>
      <c r="I501" s="19"/>
      <c r="K501" s="9"/>
      <c r="L501" s="9"/>
    </row>
    <row r="502">
      <c r="A502" s="10"/>
      <c r="B502" s="10"/>
      <c r="C502" s="9"/>
      <c r="D502" s="10"/>
      <c r="E502" s="10"/>
      <c r="F502" s="10"/>
      <c r="G502" s="10"/>
      <c r="H502" s="10"/>
      <c r="I502" s="19"/>
      <c r="K502" s="9"/>
      <c r="L502" s="9"/>
    </row>
    <row r="503">
      <c r="A503" s="5">
        <v>168.0</v>
      </c>
      <c r="B503" s="24" t="s">
        <v>529</v>
      </c>
      <c r="C503" s="5" t="s">
        <v>27</v>
      </c>
      <c r="D503" s="5">
        <v>1.0</v>
      </c>
      <c r="E503" s="5" t="s">
        <v>28</v>
      </c>
      <c r="F503" s="5" t="s">
        <v>14</v>
      </c>
      <c r="G503" s="5" t="s">
        <v>530</v>
      </c>
      <c r="H503" s="5" t="s">
        <v>528</v>
      </c>
      <c r="I503" s="18" t="s">
        <v>494</v>
      </c>
      <c r="J503" s="28"/>
      <c r="K503" s="7" t="s">
        <v>14</v>
      </c>
      <c r="L503" s="8" t="s">
        <v>84</v>
      </c>
    </row>
    <row r="504">
      <c r="A504" s="9"/>
      <c r="B504" s="9"/>
      <c r="C504" s="9"/>
      <c r="D504" s="9"/>
      <c r="E504" s="9"/>
      <c r="F504" s="9"/>
      <c r="G504" s="9"/>
      <c r="H504" s="9"/>
      <c r="I504" s="19"/>
      <c r="K504" s="7" t="s">
        <v>19</v>
      </c>
      <c r="L504" s="8" t="s">
        <v>83</v>
      </c>
    </row>
    <row r="505">
      <c r="A505" s="10"/>
      <c r="B505" s="10"/>
      <c r="C505" s="9"/>
      <c r="D505" s="10"/>
      <c r="E505" s="10"/>
      <c r="F505" s="10"/>
      <c r="G505" s="10"/>
      <c r="H505" s="10"/>
      <c r="I505" s="19"/>
      <c r="K505" s="7" t="s">
        <v>241</v>
      </c>
      <c r="L505" s="8" t="s">
        <v>83</v>
      </c>
    </row>
    <row r="506">
      <c r="A506" s="5">
        <v>169.0</v>
      </c>
      <c r="B506" s="24" t="s">
        <v>531</v>
      </c>
      <c r="C506" s="5" t="s">
        <v>24</v>
      </c>
      <c r="D506" s="5">
        <v>2.0</v>
      </c>
      <c r="E506" s="5" t="s">
        <v>269</v>
      </c>
      <c r="F506" s="5" t="s">
        <v>14</v>
      </c>
      <c r="G506" s="5">
        <v>5.879</v>
      </c>
      <c r="H506" s="5" t="s">
        <v>532</v>
      </c>
      <c r="I506" s="18" t="s">
        <v>494</v>
      </c>
      <c r="J506" s="28"/>
      <c r="K506" s="7" t="s">
        <v>14</v>
      </c>
      <c r="L506" s="8">
        <v>600.0</v>
      </c>
    </row>
    <row r="507">
      <c r="A507" s="9"/>
      <c r="B507" s="9"/>
      <c r="C507" s="9"/>
      <c r="D507" s="9"/>
      <c r="E507" s="9"/>
      <c r="F507" s="9"/>
      <c r="G507" s="9"/>
      <c r="H507" s="9"/>
      <c r="I507" s="19"/>
      <c r="K507" s="7" t="s">
        <v>19</v>
      </c>
      <c r="L507" s="8" t="s">
        <v>83</v>
      </c>
    </row>
    <row r="508">
      <c r="A508" s="10"/>
      <c r="B508" s="10"/>
      <c r="C508" s="9"/>
      <c r="D508" s="10"/>
      <c r="E508" s="10"/>
      <c r="F508" s="10"/>
      <c r="G508" s="10"/>
      <c r="H508" s="10"/>
      <c r="I508" s="19"/>
      <c r="K508" s="7" t="s">
        <v>533</v>
      </c>
      <c r="L508" s="8">
        <v>850.0</v>
      </c>
    </row>
    <row r="509">
      <c r="A509" s="5">
        <v>170.0</v>
      </c>
      <c r="B509" s="24" t="s">
        <v>534</v>
      </c>
      <c r="C509" s="5" t="s">
        <v>27</v>
      </c>
      <c r="D509" s="5">
        <v>2.0</v>
      </c>
      <c r="E509" s="5" t="s">
        <v>269</v>
      </c>
      <c r="F509" s="5" t="s">
        <v>14</v>
      </c>
      <c r="G509" s="5" t="s">
        <v>535</v>
      </c>
      <c r="H509" s="5" t="s">
        <v>536</v>
      </c>
      <c r="I509" s="18" t="s">
        <v>494</v>
      </c>
      <c r="J509" s="28"/>
      <c r="K509" s="7" t="s">
        <v>14</v>
      </c>
      <c r="L509" s="8">
        <v>350.0</v>
      </c>
    </row>
    <row r="510">
      <c r="A510" s="9"/>
      <c r="B510" s="9"/>
      <c r="C510" s="9"/>
      <c r="D510" s="9"/>
      <c r="E510" s="9"/>
      <c r="F510" s="9"/>
      <c r="G510" s="9"/>
      <c r="H510" s="9"/>
      <c r="I510" s="19"/>
      <c r="K510" s="7" t="s">
        <v>537</v>
      </c>
      <c r="L510" s="8">
        <v>200.0</v>
      </c>
    </row>
    <row r="511">
      <c r="A511" s="10"/>
      <c r="B511" s="10"/>
      <c r="C511" s="9"/>
      <c r="D511" s="10"/>
      <c r="E511" s="10"/>
      <c r="F511" s="10"/>
      <c r="G511" s="10"/>
      <c r="H511" s="10"/>
      <c r="I511" s="19"/>
      <c r="K511" s="7" t="s">
        <v>538</v>
      </c>
      <c r="L511" s="8">
        <v>350.0</v>
      </c>
    </row>
    <row r="512">
      <c r="A512" s="5">
        <v>171.0</v>
      </c>
      <c r="B512" s="24" t="s">
        <v>539</v>
      </c>
      <c r="C512" s="5" t="s">
        <v>27</v>
      </c>
      <c r="D512" s="5">
        <v>2.0</v>
      </c>
      <c r="E512" s="5" t="s">
        <v>177</v>
      </c>
      <c r="F512" s="5" t="s">
        <v>14</v>
      </c>
      <c r="G512" s="5" t="s">
        <v>540</v>
      </c>
      <c r="H512" s="5" t="s">
        <v>528</v>
      </c>
      <c r="I512" s="18" t="s">
        <v>494</v>
      </c>
      <c r="J512" s="28"/>
      <c r="K512" s="7" t="s">
        <v>14</v>
      </c>
      <c r="L512" s="8" t="s">
        <v>57</v>
      </c>
    </row>
    <row r="513">
      <c r="A513" s="9"/>
      <c r="B513" s="9"/>
      <c r="C513" s="9"/>
      <c r="D513" s="9"/>
      <c r="E513" s="9"/>
      <c r="F513" s="9"/>
      <c r="G513" s="9"/>
      <c r="H513" s="9"/>
      <c r="I513" s="19"/>
      <c r="K513" s="7" t="s">
        <v>19</v>
      </c>
      <c r="L513" s="7" t="s">
        <v>32</v>
      </c>
    </row>
    <row r="514">
      <c r="A514" s="10"/>
      <c r="B514" s="10"/>
      <c r="C514" s="9"/>
      <c r="D514" s="10"/>
      <c r="E514" s="10"/>
      <c r="F514" s="10"/>
      <c r="G514" s="10"/>
      <c r="H514" s="10"/>
      <c r="I514" s="19"/>
      <c r="K514" s="7" t="s">
        <v>21</v>
      </c>
      <c r="L514" s="7" t="s">
        <v>32</v>
      </c>
    </row>
    <row r="515">
      <c r="A515" s="5">
        <v>172.0</v>
      </c>
      <c r="B515" s="24" t="s">
        <v>541</v>
      </c>
      <c r="C515" s="5" t="s">
        <v>27</v>
      </c>
      <c r="D515" s="5">
        <v>2.0</v>
      </c>
      <c r="E515" s="5" t="s">
        <v>542</v>
      </c>
      <c r="F515" s="5" t="s">
        <v>14</v>
      </c>
      <c r="G515" s="5" t="s">
        <v>543</v>
      </c>
      <c r="H515" s="5" t="s">
        <v>536</v>
      </c>
      <c r="I515" s="18" t="s">
        <v>494</v>
      </c>
      <c r="J515" s="28"/>
      <c r="K515" s="7" t="s">
        <v>14</v>
      </c>
      <c r="L515" s="8" t="s">
        <v>143</v>
      </c>
    </row>
    <row r="516">
      <c r="A516" s="9"/>
      <c r="B516" s="9"/>
      <c r="C516" s="9"/>
      <c r="D516" s="9"/>
      <c r="E516" s="9"/>
      <c r="F516" s="9"/>
      <c r="G516" s="9"/>
      <c r="H516" s="9"/>
      <c r="I516" s="19"/>
      <c r="K516" s="7" t="s">
        <v>19</v>
      </c>
      <c r="L516" s="8" t="s">
        <v>133</v>
      </c>
    </row>
    <row r="517">
      <c r="A517" s="10"/>
      <c r="B517" s="10"/>
      <c r="C517" s="9"/>
      <c r="D517" s="10"/>
      <c r="E517" s="10"/>
      <c r="F517" s="10"/>
      <c r="G517" s="10"/>
      <c r="H517" s="10"/>
      <c r="I517" s="19"/>
      <c r="K517" s="7" t="s">
        <v>21</v>
      </c>
      <c r="L517" s="8" t="s">
        <v>53</v>
      </c>
    </row>
    <row r="518">
      <c r="A518" s="5">
        <v>173.0</v>
      </c>
      <c r="B518" s="24" t="s">
        <v>544</v>
      </c>
      <c r="C518" s="5" t="s">
        <v>12</v>
      </c>
      <c r="D518" s="5">
        <v>3.0</v>
      </c>
      <c r="E518" s="5" t="s">
        <v>545</v>
      </c>
      <c r="F518" s="5" t="s">
        <v>14</v>
      </c>
      <c r="G518" s="5" t="s">
        <v>546</v>
      </c>
      <c r="H518" s="5" t="s">
        <v>547</v>
      </c>
      <c r="I518" s="18" t="s">
        <v>494</v>
      </c>
      <c r="J518" s="28"/>
      <c r="K518" s="7" t="s">
        <v>14</v>
      </c>
      <c r="L518" s="8" t="s">
        <v>57</v>
      </c>
    </row>
    <row r="519">
      <c r="A519" s="9"/>
      <c r="B519" s="9"/>
      <c r="C519" s="9"/>
      <c r="D519" s="9"/>
      <c r="E519" s="9"/>
      <c r="F519" s="9"/>
      <c r="G519" s="9"/>
      <c r="H519" s="9"/>
      <c r="I519" s="19"/>
      <c r="K519" s="7" t="s">
        <v>19</v>
      </c>
      <c r="L519" s="8">
        <v>500.0</v>
      </c>
    </row>
    <row r="520">
      <c r="A520" s="10"/>
      <c r="B520" s="10"/>
      <c r="C520" s="9"/>
      <c r="D520" s="10"/>
      <c r="E520" s="10"/>
      <c r="F520" s="10"/>
      <c r="G520" s="10"/>
      <c r="H520" s="10"/>
      <c r="I520" s="19"/>
      <c r="K520" s="7" t="s">
        <v>548</v>
      </c>
      <c r="L520" s="8" t="s">
        <v>20</v>
      </c>
    </row>
    <row r="521">
      <c r="A521" s="5">
        <v>174.0</v>
      </c>
      <c r="B521" s="24" t="s">
        <v>549</v>
      </c>
      <c r="C521" s="5" t="s">
        <v>12</v>
      </c>
      <c r="D521" s="5">
        <v>2.0</v>
      </c>
      <c r="E521" s="5" t="s">
        <v>177</v>
      </c>
      <c r="F521" s="5" t="s">
        <v>14</v>
      </c>
      <c r="G521" s="5" t="s">
        <v>550</v>
      </c>
      <c r="H521" s="5" t="s">
        <v>551</v>
      </c>
      <c r="I521" s="18" t="s">
        <v>494</v>
      </c>
      <c r="J521" s="28"/>
      <c r="K521" s="7" t="s">
        <v>14</v>
      </c>
      <c r="L521" s="8" t="s">
        <v>52</v>
      </c>
    </row>
    <row r="522">
      <c r="A522" s="9"/>
      <c r="B522" s="9"/>
      <c r="C522" s="9"/>
      <c r="D522" s="9"/>
      <c r="E522" s="9"/>
      <c r="F522" s="9"/>
      <c r="G522" s="9"/>
      <c r="H522" s="9"/>
      <c r="I522" s="19"/>
      <c r="K522" s="7" t="s">
        <v>19</v>
      </c>
      <c r="L522" s="7" t="s">
        <v>32</v>
      </c>
    </row>
    <row r="523">
      <c r="A523" s="10"/>
      <c r="B523" s="10"/>
      <c r="C523" s="9"/>
      <c r="D523" s="10"/>
      <c r="E523" s="10"/>
      <c r="F523" s="10"/>
      <c r="G523" s="10"/>
      <c r="H523" s="10"/>
      <c r="I523" s="19"/>
      <c r="K523" s="7" t="s">
        <v>21</v>
      </c>
      <c r="L523" s="7" t="s">
        <v>32</v>
      </c>
    </row>
    <row r="524">
      <c r="A524" s="5">
        <v>175.0</v>
      </c>
      <c r="B524" s="24" t="s">
        <v>552</v>
      </c>
      <c r="C524" s="5" t="s">
        <v>24</v>
      </c>
      <c r="D524" s="5">
        <v>1.0</v>
      </c>
      <c r="E524" s="5" t="s">
        <v>13</v>
      </c>
      <c r="F524" s="5" t="s">
        <v>14</v>
      </c>
      <c r="G524" s="5">
        <v>1.715</v>
      </c>
      <c r="H524" s="5" t="s">
        <v>532</v>
      </c>
      <c r="I524" s="18" t="s">
        <v>494</v>
      </c>
      <c r="J524" s="28"/>
      <c r="K524" s="7" t="s">
        <v>14</v>
      </c>
      <c r="L524" s="8">
        <v>500.0</v>
      </c>
    </row>
    <row r="525">
      <c r="A525" s="9"/>
      <c r="B525" s="9"/>
      <c r="C525" s="9"/>
      <c r="D525" s="9"/>
      <c r="E525" s="9"/>
      <c r="F525" s="9"/>
      <c r="G525" s="9"/>
      <c r="H525" s="9"/>
      <c r="I525" s="19"/>
      <c r="K525" s="7" t="s">
        <v>19</v>
      </c>
      <c r="L525" s="8">
        <v>500.0</v>
      </c>
    </row>
    <row r="526">
      <c r="A526" s="10"/>
      <c r="B526" s="10"/>
      <c r="C526" s="9"/>
      <c r="D526" s="10"/>
      <c r="E526" s="10"/>
      <c r="F526" s="10"/>
      <c r="G526" s="10"/>
      <c r="H526" s="10"/>
      <c r="I526" s="19"/>
      <c r="K526" s="7" t="s">
        <v>21</v>
      </c>
      <c r="L526" s="8">
        <v>750.0</v>
      </c>
    </row>
    <row r="527">
      <c r="A527" s="5">
        <v>176.0</v>
      </c>
      <c r="B527" s="24" t="s">
        <v>553</v>
      </c>
      <c r="C527" s="5" t="s">
        <v>24</v>
      </c>
      <c r="D527" s="5">
        <v>1.0</v>
      </c>
      <c r="E527" s="5" t="s">
        <v>28</v>
      </c>
      <c r="F527" s="5" t="s">
        <v>14</v>
      </c>
      <c r="G527" s="5">
        <v>5.065</v>
      </c>
      <c r="H527" s="5" t="s">
        <v>510</v>
      </c>
      <c r="I527" s="18" t="s">
        <v>494</v>
      </c>
      <c r="J527" s="28"/>
      <c r="K527" s="7" t="s">
        <v>14</v>
      </c>
      <c r="L527" s="8">
        <v>500.0</v>
      </c>
    </row>
    <row r="528">
      <c r="A528" s="9"/>
      <c r="B528" s="9"/>
      <c r="C528" s="9"/>
      <c r="D528" s="9"/>
      <c r="E528" s="9"/>
      <c r="F528" s="9"/>
      <c r="G528" s="9"/>
      <c r="H528" s="9"/>
      <c r="I528" s="19"/>
      <c r="K528" s="7" t="s">
        <v>554</v>
      </c>
      <c r="L528" s="8" t="s">
        <v>65</v>
      </c>
    </row>
    <row r="529">
      <c r="A529" s="10"/>
      <c r="B529" s="10"/>
      <c r="C529" s="9"/>
      <c r="D529" s="10"/>
      <c r="E529" s="10"/>
      <c r="F529" s="10"/>
      <c r="G529" s="10"/>
      <c r="H529" s="10"/>
      <c r="I529" s="19"/>
      <c r="K529" s="7" t="s">
        <v>21</v>
      </c>
      <c r="L529" s="8" t="s">
        <v>83</v>
      </c>
    </row>
    <row r="530">
      <c r="A530" s="5">
        <v>177.0</v>
      </c>
      <c r="B530" s="24" t="s">
        <v>555</v>
      </c>
      <c r="C530" s="5" t="s">
        <v>24</v>
      </c>
      <c r="D530" s="5">
        <v>1.0</v>
      </c>
      <c r="E530" s="5" t="s">
        <v>152</v>
      </c>
      <c r="F530" s="5" t="s">
        <v>14</v>
      </c>
      <c r="G530" s="5">
        <v>6.231</v>
      </c>
      <c r="H530" s="5" t="s">
        <v>556</v>
      </c>
      <c r="I530" s="18" t="s">
        <v>494</v>
      </c>
      <c r="J530" s="28"/>
      <c r="K530" s="7" t="s">
        <v>557</v>
      </c>
      <c r="L530" s="8">
        <v>300.0</v>
      </c>
    </row>
    <row r="531">
      <c r="A531" s="9"/>
      <c r="B531" s="9"/>
      <c r="C531" s="9"/>
      <c r="D531" s="9"/>
      <c r="E531" s="9"/>
      <c r="F531" s="9"/>
      <c r="G531" s="9"/>
      <c r="H531" s="9"/>
      <c r="I531" s="19"/>
      <c r="K531" s="7" t="s">
        <v>19</v>
      </c>
      <c r="L531" s="8" t="s">
        <v>83</v>
      </c>
    </row>
    <row r="532">
      <c r="A532" s="10"/>
      <c r="B532" s="10"/>
      <c r="C532" s="9"/>
      <c r="D532" s="10"/>
      <c r="E532" s="10"/>
      <c r="F532" s="10"/>
      <c r="G532" s="10"/>
      <c r="H532" s="10"/>
      <c r="I532" s="19"/>
      <c r="K532" s="7" t="s">
        <v>537</v>
      </c>
      <c r="L532" s="8">
        <v>500.0</v>
      </c>
    </row>
    <row r="533">
      <c r="A533" s="5">
        <v>178.0</v>
      </c>
      <c r="B533" s="24" t="s">
        <v>558</v>
      </c>
      <c r="C533" s="5" t="s">
        <v>12</v>
      </c>
      <c r="D533" s="5">
        <v>3.0</v>
      </c>
      <c r="E533" s="5" t="s">
        <v>559</v>
      </c>
      <c r="F533" s="5" t="s">
        <v>14</v>
      </c>
      <c r="G533" s="5" t="s">
        <v>560</v>
      </c>
      <c r="H533" s="5" t="s">
        <v>547</v>
      </c>
      <c r="I533" s="18" t="s">
        <v>494</v>
      </c>
      <c r="J533" s="28"/>
      <c r="K533" s="5" t="s">
        <v>561</v>
      </c>
      <c r="L533" s="5">
        <v>450.0</v>
      </c>
    </row>
    <row r="534">
      <c r="A534" s="9"/>
      <c r="B534" s="9"/>
      <c r="C534" s="9"/>
      <c r="D534" s="9"/>
      <c r="E534" s="9"/>
      <c r="F534" s="9"/>
      <c r="G534" s="9"/>
      <c r="H534" s="9"/>
      <c r="I534" s="19"/>
      <c r="K534" s="9"/>
      <c r="L534" s="9"/>
    </row>
    <row r="535">
      <c r="A535" s="10"/>
      <c r="B535" s="10"/>
      <c r="C535" s="9"/>
      <c r="D535" s="10"/>
      <c r="E535" s="10"/>
      <c r="F535" s="10"/>
      <c r="G535" s="10"/>
      <c r="H535" s="10"/>
      <c r="I535" s="19"/>
      <c r="K535" s="9"/>
      <c r="L535" s="9"/>
    </row>
    <row r="536">
      <c r="A536" s="5">
        <v>179.0</v>
      </c>
      <c r="B536" s="24" t="s">
        <v>562</v>
      </c>
      <c r="C536" s="5" t="s">
        <v>24</v>
      </c>
      <c r="D536" s="5">
        <v>2.0</v>
      </c>
      <c r="E536" s="5" t="s">
        <v>174</v>
      </c>
      <c r="F536" s="5" t="s">
        <v>14</v>
      </c>
      <c r="G536" s="5" t="s">
        <v>563</v>
      </c>
      <c r="H536" s="5" t="s">
        <v>547</v>
      </c>
      <c r="I536" s="18" t="s">
        <v>494</v>
      </c>
      <c r="J536" s="28"/>
      <c r="K536" s="7" t="s">
        <v>14</v>
      </c>
      <c r="L536" s="8" t="s">
        <v>133</v>
      </c>
    </row>
    <row r="537">
      <c r="A537" s="9"/>
      <c r="B537" s="9"/>
      <c r="C537" s="9"/>
      <c r="D537" s="9"/>
      <c r="E537" s="9"/>
      <c r="F537" s="9"/>
      <c r="G537" s="9"/>
      <c r="H537" s="9"/>
      <c r="I537" s="19"/>
      <c r="K537" s="7" t="s">
        <v>19</v>
      </c>
      <c r="L537" s="8" t="s">
        <v>53</v>
      </c>
    </row>
    <row r="538">
      <c r="A538" s="10"/>
      <c r="B538" s="10"/>
      <c r="C538" s="9"/>
      <c r="D538" s="10"/>
      <c r="E538" s="10"/>
      <c r="F538" s="10"/>
      <c r="G538" s="10"/>
      <c r="H538" s="10"/>
      <c r="I538" s="19"/>
      <c r="K538" s="7" t="s">
        <v>564</v>
      </c>
      <c r="L538" s="8" t="s">
        <v>565</v>
      </c>
    </row>
    <row r="539">
      <c r="A539" s="5">
        <v>180.0</v>
      </c>
      <c r="B539" s="24" t="s">
        <v>566</v>
      </c>
      <c r="C539" s="5" t="s">
        <v>110</v>
      </c>
      <c r="D539" s="5">
        <v>2.0</v>
      </c>
      <c r="E539" s="5" t="s">
        <v>269</v>
      </c>
      <c r="F539" s="5" t="s">
        <v>14</v>
      </c>
      <c r="G539" s="5" t="s">
        <v>567</v>
      </c>
      <c r="H539" s="5" t="s">
        <v>547</v>
      </c>
      <c r="I539" s="18" t="s">
        <v>494</v>
      </c>
      <c r="J539" s="28"/>
      <c r="K539" s="5" t="s">
        <v>14</v>
      </c>
      <c r="L539" s="5" t="s">
        <v>53</v>
      </c>
    </row>
    <row r="540">
      <c r="A540" s="9"/>
      <c r="B540" s="9"/>
      <c r="C540" s="9"/>
      <c r="D540" s="9"/>
      <c r="E540" s="9"/>
      <c r="F540" s="9"/>
      <c r="G540" s="9"/>
      <c r="H540" s="9"/>
      <c r="I540" s="19"/>
      <c r="K540" s="9"/>
      <c r="L540" s="9"/>
    </row>
    <row r="541">
      <c r="A541" s="10"/>
      <c r="B541" s="10"/>
      <c r="C541" s="10"/>
      <c r="D541" s="10"/>
      <c r="E541" s="10"/>
      <c r="F541" s="10"/>
      <c r="G541" s="10"/>
      <c r="H541" s="10"/>
      <c r="I541" s="19"/>
      <c r="K541" s="9"/>
      <c r="L541" s="9"/>
    </row>
    <row r="542">
      <c r="A542" s="5">
        <v>181.0</v>
      </c>
      <c r="B542" s="24" t="s">
        <v>568</v>
      </c>
      <c r="C542" s="5" t="s">
        <v>24</v>
      </c>
      <c r="D542" s="5">
        <v>2.0</v>
      </c>
      <c r="E542" s="5" t="s">
        <v>269</v>
      </c>
      <c r="F542" s="5" t="s">
        <v>14</v>
      </c>
      <c r="G542" s="5">
        <v>8.737</v>
      </c>
      <c r="H542" s="5" t="s">
        <v>536</v>
      </c>
      <c r="I542" s="18" t="s">
        <v>494</v>
      </c>
      <c r="J542" s="28"/>
      <c r="K542" s="7" t="s">
        <v>14</v>
      </c>
      <c r="L542" s="8">
        <v>200.0</v>
      </c>
    </row>
    <row r="543">
      <c r="A543" s="9"/>
      <c r="B543" s="9"/>
      <c r="C543" s="9"/>
      <c r="D543" s="9"/>
      <c r="E543" s="9"/>
      <c r="F543" s="9"/>
      <c r="G543" s="9"/>
      <c r="H543" s="9"/>
      <c r="I543" s="19"/>
      <c r="K543" s="7" t="s">
        <v>19</v>
      </c>
      <c r="L543" s="8">
        <v>150.0</v>
      </c>
    </row>
    <row r="544">
      <c r="A544" s="10"/>
      <c r="B544" s="10"/>
      <c r="C544" s="9"/>
      <c r="D544" s="10"/>
      <c r="E544" s="10"/>
      <c r="F544" s="10"/>
      <c r="G544" s="10"/>
      <c r="H544" s="10"/>
      <c r="I544" s="19"/>
      <c r="K544" s="7" t="s">
        <v>21</v>
      </c>
      <c r="L544" s="8">
        <v>300.0</v>
      </c>
    </row>
    <row r="545">
      <c r="A545" s="5">
        <v>182.0</v>
      </c>
      <c r="B545" s="34" t="s">
        <v>11</v>
      </c>
      <c r="C545" s="5" t="s">
        <v>12</v>
      </c>
      <c r="D545" s="5">
        <v>1.0</v>
      </c>
      <c r="E545" s="5" t="s">
        <v>13</v>
      </c>
      <c r="F545" s="5" t="s">
        <v>14</v>
      </c>
      <c r="G545" s="5" t="s">
        <v>15</v>
      </c>
      <c r="H545" s="5" t="s">
        <v>16</v>
      </c>
      <c r="I545" s="5" t="s">
        <v>17</v>
      </c>
      <c r="J545" s="5">
        <v>8.561542352E9</v>
      </c>
      <c r="K545" s="7" t="s">
        <v>14</v>
      </c>
      <c r="L545" s="8" t="s">
        <v>18</v>
      </c>
    </row>
    <row r="546">
      <c r="A546" s="9"/>
      <c r="B546" s="9"/>
      <c r="C546" s="9"/>
      <c r="D546" s="9"/>
      <c r="E546" s="9"/>
      <c r="F546" s="9"/>
      <c r="G546" s="9"/>
      <c r="H546" s="9"/>
      <c r="I546" s="9"/>
      <c r="J546" s="9"/>
      <c r="K546" s="7" t="s">
        <v>19</v>
      </c>
      <c r="L546" s="8" t="s">
        <v>20</v>
      </c>
    </row>
    <row r="547">
      <c r="A547" s="10"/>
      <c r="B547" s="9"/>
      <c r="C547" s="9"/>
      <c r="D547" s="9"/>
      <c r="E547" s="9"/>
      <c r="F547" s="9"/>
      <c r="G547" s="9"/>
      <c r="H547" s="9"/>
      <c r="I547" s="9"/>
      <c r="J547" s="9"/>
      <c r="K547" s="34" t="s">
        <v>21</v>
      </c>
      <c r="L547" s="17" t="s">
        <v>22</v>
      </c>
    </row>
    <row r="548">
      <c r="A548" s="5">
        <v>183.0</v>
      </c>
      <c r="B548" s="35" t="s">
        <v>569</v>
      </c>
      <c r="C548" s="36" t="s">
        <v>27</v>
      </c>
      <c r="D548" s="36">
        <v>2.0</v>
      </c>
      <c r="E548" s="36" t="s">
        <v>63</v>
      </c>
      <c r="F548" s="36" t="s">
        <v>14</v>
      </c>
      <c r="G548" s="36" t="s">
        <v>570</v>
      </c>
      <c r="H548" s="36" t="s">
        <v>536</v>
      </c>
      <c r="I548" s="37" t="s">
        <v>494</v>
      </c>
      <c r="J548" s="28"/>
      <c r="K548" s="38" t="s">
        <v>14</v>
      </c>
      <c r="L548" s="39">
        <v>350.0</v>
      </c>
    </row>
    <row r="549">
      <c r="A549" s="9"/>
      <c r="B549" s="40"/>
      <c r="C549" s="40"/>
      <c r="D549" s="40"/>
      <c r="E549" s="40"/>
      <c r="F549" s="40"/>
      <c r="G549" s="40"/>
      <c r="H549" s="40"/>
      <c r="I549" s="41"/>
      <c r="K549" s="38" t="s">
        <v>19</v>
      </c>
      <c r="L549" s="38" t="s">
        <v>32</v>
      </c>
    </row>
    <row r="550">
      <c r="A550" s="10"/>
      <c r="B550" s="40"/>
      <c r="C550" s="40"/>
      <c r="D550" s="40"/>
      <c r="E550" s="40"/>
      <c r="F550" s="40"/>
      <c r="G550" s="40"/>
      <c r="H550" s="40"/>
      <c r="I550" s="41"/>
      <c r="K550" s="38" t="s">
        <v>498</v>
      </c>
      <c r="L550" s="38" t="s">
        <v>32</v>
      </c>
    </row>
    <row r="551">
      <c r="A551" s="5">
        <v>184.0</v>
      </c>
      <c r="B551" s="35" t="s">
        <v>558</v>
      </c>
      <c r="C551" s="36" t="s">
        <v>27</v>
      </c>
      <c r="D551" s="36">
        <v>3.0</v>
      </c>
      <c r="E551" s="36" t="s">
        <v>571</v>
      </c>
      <c r="F551" s="36" t="s">
        <v>14</v>
      </c>
      <c r="G551" s="36" t="s">
        <v>572</v>
      </c>
      <c r="H551" s="5" t="s">
        <v>36</v>
      </c>
      <c r="I551" s="36" t="s">
        <v>17</v>
      </c>
      <c r="J551" s="42" t="str">
        <f>+62 882-0073-62064</f>
        <v>#ERROR!</v>
      </c>
      <c r="K551" s="38" t="s">
        <v>14</v>
      </c>
      <c r="L551" s="39">
        <v>350.0</v>
      </c>
    </row>
    <row r="552">
      <c r="A552" s="9"/>
      <c r="B552" s="40"/>
      <c r="C552" s="40"/>
      <c r="D552" s="40"/>
      <c r="E552" s="40"/>
      <c r="F552" s="40"/>
      <c r="G552" s="40"/>
      <c r="H552" s="9"/>
      <c r="I552" s="40"/>
      <c r="J552" s="40"/>
      <c r="K552" s="38" t="s">
        <v>19</v>
      </c>
      <c r="L552" s="39">
        <v>350.0</v>
      </c>
    </row>
    <row r="553">
      <c r="A553" s="10"/>
      <c r="B553" s="40"/>
      <c r="C553" s="40"/>
      <c r="D553" s="40"/>
      <c r="E553" s="40"/>
      <c r="F553" s="40"/>
      <c r="G553" s="40"/>
      <c r="H553" s="9"/>
      <c r="I553" s="40"/>
      <c r="J553" s="40"/>
      <c r="K553" s="38" t="s">
        <v>498</v>
      </c>
      <c r="L553" s="39">
        <v>500.0</v>
      </c>
    </row>
    <row r="554">
      <c r="A554" s="5">
        <v>185.0</v>
      </c>
      <c r="B554" s="35" t="s">
        <v>573</v>
      </c>
      <c r="C554" s="36" t="s">
        <v>27</v>
      </c>
      <c r="D554" s="36">
        <v>2.0</v>
      </c>
      <c r="E554" s="36" t="s">
        <v>264</v>
      </c>
      <c r="F554" s="36" t="s">
        <v>574</v>
      </c>
      <c r="G554" s="36" t="s">
        <v>575</v>
      </c>
      <c r="H554" s="5" t="s">
        <v>36</v>
      </c>
      <c r="I554" s="43" t="s">
        <v>576</v>
      </c>
      <c r="J554" s="44"/>
      <c r="K554" s="38" t="s">
        <v>14</v>
      </c>
      <c r="L554" s="38" t="s">
        <v>32</v>
      </c>
    </row>
    <row r="555">
      <c r="A555" s="9"/>
      <c r="B555" s="40"/>
      <c r="C555" s="40"/>
      <c r="D555" s="40"/>
      <c r="E555" s="40"/>
      <c r="F555" s="40"/>
      <c r="G555" s="40"/>
      <c r="H555" s="9"/>
      <c r="I555" s="41"/>
      <c r="K555" s="38" t="s">
        <v>19</v>
      </c>
      <c r="L555" s="39" t="s">
        <v>22</v>
      </c>
    </row>
    <row r="556">
      <c r="A556" s="10"/>
      <c r="B556" s="40"/>
      <c r="C556" s="40"/>
      <c r="D556" s="40"/>
      <c r="E556" s="40"/>
      <c r="F556" s="40"/>
      <c r="G556" s="40"/>
      <c r="H556" s="9"/>
      <c r="I556" s="41"/>
      <c r="K556" s="35" t="s">
        <v>498</v>
      </c>
      <c r="L556" s="45" t="s">
        <v>84</v>
      </c>
    </row>
    <row r="557">
      <c r="A557" s="5">
        <v>186.0</v>
      </c>
      <c r="B557" s="35" t="s">
        <v>577</v>
      </c>
      <c r="C557" s="36" t="s">
        <v>27</v>
      </c>
      <c r="D557" s="36">
        <v>2.0</v>
      </c>
      <c r="E557" s="36" t="s">
        <v>578</v>
      </c>
      <c r="F557" s="36" t="s">
        <v>574</v>
      </c>
      <c r="G557" s="36" t="s">
        <v>579</v>
      </c>
      <c r="H557" s="5" t="s">
        <v>36</v>
      </c>
      <c r="I557" s="36" t="s">
        <v>17</v>
      </c>
      <c r="J557" s="42" t="str">
        <f>+62 812-6617-0482</f>
        <v>#ERROR!</v>
      </c>
      <c r="K557" s="38" t="s">
        <v>14</v>
      </c>
      <c r="L557" s="39">
        <v>500.0</v>
      </c>
    </row>
    <row r="558">
      <c r="A558" s="9"/>
      <c r="B558" s="40"/>
      <c r="C558" s="40"/>
      <c r="D558" s="40"/>
      <c r="E558" s="40"/>
      <c r="F558" s="40"/>
      <c r="G558" s="40"/>
      <c r="H558" s="9"/>
      <c r="I558" s="40"/>
      <c r="J558" s="40"/>
      <c r="K558" s="38" t="s">
        <v>19</v>
      </c>
      <c r="L558" s="39">
        <v>500.0</v>
      </c>
    </row>
    <row r="559">
      <c r="A559" s="10"/>
      <c r="B559" s="40"/>
      <c r="C559" s="40"/>
      <c r="D559" s="40"/>
      <c r="E559" s="40"/>
      <c r="F559" s="40"/>
      <c r="G559" s="40"/>
      <c r="H559" s="9"/>
      <c r="I559" s="40"/>
      <c r="J559" s="40"/>
      <c r="K559" s="38" t="s">
        <v>498</v>
      </c>
      <c r="L559" s="39">
        <v>500.0</v>
      </c>
    </row>
    <row r="560">
      <c r="A560" s="5">
        <v>187.0</v>
      </c>
      <c r="B560" s="35" t="s">
        <v>580</v>
      </c>
      <c r="C560" s="36" t="s">
        <v>27</v>
      </c>
      <c r="D560" s="36">
        <v>2.0</v>
      </c>
      <c r="E560" s="36" t="s">
        <v>581</v>
      </c>
      <c r="F560" s="36" t="s">
        <v>14</v>
      </c>
      <c r="G560" s="36" t="s">
        <v>582</v>
      </c>
      <c r="H560" s="5" t="s">
        <v>36</v>
      </c>
      <c r="I560" s="46" t="s">
        <v>494</v>
      </c>
      <c r="J560" s="47"/>
      <c r="K560" s="48" t="s">
        <v>14</v>
      </c>
      <c r="L560" s="39">
        <v>400.0</v>
      </c>
    </row>
    <row r="561">
      <c r="A561" s="9"/>
      <c r="B561" s="40"/>
      <c r="C561" s="40"/>
      <c r="D561" s="40"/>
      <c r="E561" s="40"/>
      <c r="F561" s="40"/>
      <c r="G561" s="40"/>
      <c r="H561" s="9"/>
      <c r="I561" s="19"/>
      <c r="J561" s="31"/>
      <c r="K561" s="48" t="s">
        <v>19</v>
      </c>
      <c r="L561" s="38" t="s">
        <v>32</v>
      </c>
    </row>
    <row r="562">
      <c r="A562" s="10"/>
      <c r="B562" s="40"/>
      <c r="C562" s="40"/>
      <c r="D562" s="40"/>
      <c r="E562" s="40"/>
      <c r="F562" s="40"/>
      <c r="G562" s="40"/>
      <c r="H562" s="9"/>
      <c r="I562" s="20"/>
      <c r="J562" s="32"/>
      <c r="K562" s="49" t="s">
        <v>498</v>
      </c>
      <c r="L562" s="35" t="s">
        <v>32</v>
      </c>
    </row>
    <row r="563">
      <c r="A563" s="5">
        <v>188.0</v>
      </c>
      <c r="B563" s="35" t="s">
        <v>583</v>
      </c>
      <c r="C563" s="36" t="s">
        <v>27</v>
      </c>
      <c r="D563" s="36">
        <v>2.0</v>
      </c>
      <c r="E563" s="36" t="s">
        <v>584</v>
      </c>
      <c r="F563" s="36" t="s">
        <v>574</v>
      </c>
      <c r="G563" s="36" t="s">
        <v>585</v>
      </c>
      <c r="H563" s="5" t="s">
        <v>36</v>
      </c>
      <c r="I563" s="50" t="s">
        <v>576</v>
      </c>
      <c r="J563" s="31"/>
      <c r="K563" s="38" t="s">
        <v>14</v>
      </c>
      <c r="L563" s="39">
        <v>300.0</v>
      </c>
    </row>
    <row r="564">
      <c r="A564" s="9"/>
      <c r="B564" s="40"/>
      <c r="C564" s="40"/>
      <c r="D564" s="40"/>
      <c r="E564" s="40"/>
      <c r="F564" s="40"/>
      <c r="G564" s="40"/>
      <c r="H564" s="9"/>
      <c r="I564" s="19"/>
      <c r="J564" s="31"/>
      <c r="K564" s="38" t="s">
        <v>19</v>
      </c>
      <c r="L564" s="39">
        <v>350.0</v>
      </c>
    </row>
    <row r="565">
      <c r="A565" s="10"/>
      <c r="B565" s="40"/>
      <c r="C565" s="40"/>
      <c r="D565" s="40"/>
      <c r="E565" s="40"/>
      <c r="F565" s="40"/>
      <c r="G565" s="40"/>
      <c r="H565" s="9"/>
      <c r="I565" s="20"/>
      <c r="J565" s="32"/>
      <c r="K565" s="35" t="s">
        <v>498</v>
      </c>
      <c r="L565" s="45">
        <v>600.0</v>
      </c>
    </row>
    <row r="566">
      <c r="A566" s="5">
        <v>189.0</v>
      </c>
      <c r="B566" s="35" t="s">
        <v>586</v>
      </c>
      <c r="C566" s="36" t="s">
        <v>12</v>
      </c>
      <c r="D566" s="36">
        <v>2.0</v>
      </c>
      <c r="E566" s="36" t="s">
        <v>385</v>
      </c>
      <c r="F566" s="36" t="s">
        <v>14</v>
      </c>
      <c r="G566" s="36" t="s">
        <v>587</v>
      </c>
      <c r="H566" s="5" t="s">
        <v>36</v>
      </c>
      <c r="I566" s="46" t="s">
        <v>494</v>
      </c>
      <c r="J566" s="47"/>
      <c r="K566" s="38" t="s">
        <v>14</v>
      </c>
      <c r="L566" s="39">
        <v>700.0</v>
      </c>
    </row>
    <row r="567">
      <c r="A567" s="9"/>
      <c r="B567" s="40"/>
      <c r="C567" s="40"/>
      <c r="D567" s="40"/>
      <c r="E567" s="40"/>
      <c r="F567" s="40"/>
      <c r="G567" s="40"/>
      <c r="H567" s="9"/>
      <c r="I567" s="19"/>
      <c r="J567" s="31"/>
      <c r="K567" s="38" t="s">
        <v>19</v>
      </c>
      <c r="L567" s="39">
        <v>700.0</v>
      </c>
    </row>
    <row r="568">
      <c r="A568" s="10"/>
      <c r="B568" s="40"/>
      <c r="C568" s="40"/>
      <c r="D568" s="40"/>
      <c r="E568" s="40"/>
      <c r="F568" s="40"/>
      <c r="G568" s="40"/>
      <c r="H568" s="9"/>
      <c r="I568" s="20"/>
      <c r="J568" s="32"/>
      <c r="K568" s="35" t="s">
        <v>498</v>
      </c>
      <c r="L568" s="45" t="s">
        <v>65</v>
      </c>
    </row>
    <row r="569">
      <c r="A569" s="5">
        <v>190.0</v>
      </c>
      <c r="B569" s="35" t="s">
        <v>588</v>
      </c>
      <c r="C569" s="36" t="s">
        <v>24</v>
      </c>
      <c r="D569" s="36">
        <v>2.0</v>
      </c>
      <c r="E569" s="36" t="s">
        <v>269</v>
      </c>
      <c r="F569" s="36" t="s">
        <v>14</v>
      </c>
      <c r="G569" s="36" t="s">
        <v>589</v>
      </c>
      <c r="H569" s="5" t="s">
        <v>36</v>
      </c>
      <c r="I569" s="46" t="s">
        <v>494</v>
      </c>
      <c r="J569" s="47"/>
      <c r="K569" s="38" t="s">
        <v>14</v>
      </c>
      <c r="L569" s="39">
        <v>300.0</v>
      </c>
    </row>
    <row r="570">
      <c r="A570" s="9"/>
      <c r="B570" s="40"/>
      <c r="C570" s="40"/>
      <c r="D570" s="40"/>
      <c r="E570" s="40"/>
      <c r="F570" s="40"/>
      <c r="G570" s="40"/>
      <c r="H570" s="9"/>
      <c r="I570" s="19"/>
      <c r="J570" s="31"/>
      <c r="K570" s="38" t="s">
        <v>19</v>
      </c>
      <c r="L570" s="38" t="s">
        <v>32</v>
      </c>
    </row>
    <row r="571">
      <c r="A571" s="10"/>
      <c r="B571" s="40"/>
      <c r="C571" s="40"/>
      <c r="D571" s="40"/>
      <c r="E571" s="40"/>
      <c r="F571" s="40"/>
      <c r="G571" s="40"/>
      <c r="H571" s="9"/>
      <c r="I571" s="20"/>
      <c r="J571" s="32"/>
      <c r="K571" s="38" t="s">
        <v>498</v>
      </c>
      <c r="L571" s="38" t="s">
        <v>32</v>
      </c>
    </row>
    <row r="572">
      <c r="A572" s="5">
        <v>191.0</v>
      </c>
      <c r="B572" s="35" t="s">
        <v>590</v>
      </c>
      <c r="C572" s="36" t="s">
        <v>24</v>
      </c>
      <c r="D572" s="36">
        <v>1.0</v>
      </c>
      <c r="E572" s="36" t="s">
        <v>231</v>
      </c>
      <c r="F572" s="36" t="s">
        <v>14</v>
      </c>
      <c r="G572" s="36" t="s">
        <v>591</v>
      </c>
      <c r="H572" s="5" t="s">
        <v>36</v>
      </c>
      <c r="I572" s="46" t="s">
        <v>494</v>
      </c>
      <c r="J572" s="47"/>
      <c r="K572" s="38" t="s">
        <v>14</v>
      </c>
      <c r="L572" s="39" t="s">
        <v>22</v>
      </c>
    </row>
    <row r="573">
      <c r="A573" s="9"/>
      <c r="B573" s="40"/>
      <c r="C573" s="40"/>
      <c r="D573" s="40"/>
      <c r="E573" s="40"/>
      <c r="F573" s="40"/>
      <c r="G573" s="40"/>
      <c r="H573" s="9"/>
      <c r="I573" s="19"/>
      <c r="J573" s="31"/>
      <c r="K573" s="38" t="s">
        <v>19</v>
      </c>
      <c r="L573" s="39" t="s">
        <v>22</v>
      </c>
    </row>
    <row r="574">
      <c r="A574" s="10"/>
      <c r="B574" s="40"/>
      <c r="C574" s="40"/>
      <c r="D574" s="40"/>
      <c r="E574" s="40"/>
      <c r="F574" s="40"/>
      <c r="G574" s="40"/>
      <c r="H574" s="9"/>
      <c r="I574" s="20"/>
      <c r="J574" s="32"/>
      <c r="K574" s="38" t="s">
        <v>498</v>
      </c>
      <c r="L574" s="38" t="s">
        <v>32</v>
      </c>
    </row>
    <row r="575">
      <c r="A575" s="5">
        <v>192.0</v>
      </c>
      <c r="B575" s="29" t="s">
        <v>592</v>
      </c>
      <c r="C575" s="5" t="s">
        <v>24</v>
      </c>
      <c r="D575" s="30">
        <v>3.0</v>
      </c>
      <c r="E575" s="5" t="s">
        <v>593</v>
      </c>
      <c r="F575" s="5" t="s">
        <v>160</v>
      </c>
      <c r="G575" s="5">
        <v>7.102</v>
      </c>
      <c r="H575" s="5" t="s">
        <v>36</v>
      </c>
      <c r="I575" s="46" t="s">
        <v>576</v>
      </c>
      <c r="J575" s="47"/>
      <c r="K575" s="7" t="s">
        <v>14</v>
      </c>
      <c r="L575" s="7" t="s">
        <v>32</v>
      </c>
    </row>
    <row r="576">
      <c r="A576" s="9"/>
      <c r="B576" s="19"/>
      <c r="C576" s="9"/>
      <c r="D576" s="31"/>
      <c r="E576" s="9"/>
      <c r="F576" s="9"/>
      <c r="G576" s="9"/>
      <c r="H576" s="9"/>
      <c r="I576" s="19"/>
      <c r="J576" s="31"/>
      <c r="K576" s="7" t="s">
        <v>19</v>
      </c>
      <c r="L576" s="8">
        <v>500.0</v>
      </c>
    </row>
    <row r="577">
      <c r="A577" s="10"/>
      <c r="B577" s="19"/>
      <c r="C577" s="10"/>
      <c r="D577" s="31"/>
      <c r="E577" s="9"/>
      <c r="F577" s="9"/>
      <c r="G577" s="9"/>
      <c r="H577" s="9"/>
      <c r="I577" s="20"/>
      <c r="J577" s="32"/>
      <c r="K577" s="7" t="s">
        <v>21</v>
      </c>
      <c r="L577" s="7" t="s">
        <v>32</v>
      </c>
    </row>
    <row r="578">
      <c r="A578" s="5">
        <v>193.0</v>
      </c>
      <c r="B578" s="24" t="s">
        <v>594</v>
      </c>
      <c r="C578" s="33" t="s">
        <v>27</v>
      </c>
      <c r="D578" s="5">
        <v>2.0</v>
      </c>
      <c r="E578" s="5" t="s">
        <v>578</v>
      </c>
      <c r="F578" s="5" t="s">
        <v>160</v>
      </c>
      <c r="G578" s="5" t="s">
        <v>595</v>
      </c>
      <c r="H578" s="5" t="s">
        <v>36</v>
      </c>
      <c r="I578" s="46" t="s">
        <v>576</v>
      </c>
      <c r="J578" s="47"/>
      <c r="K578" s="7" t="s">
        <v>14</v>
      </c>
      <c r="L578" s="8">
        <v>350.0</v>
      </c>
    </row>
    <row r="579">
      <c r="A579" s="9"/>
      <c r="B579" s="9"/>
      <c r="C579" s="9"/>
      <c r="D579" s="9"/>
      <c r="E579" s="9"/>
      <c r="F579" s="9"/>
      <c r="G579" s="9"/>
      <c r="H579" s="9"/>
      <c r="I579" s="19"/>
      <c r="J579" s="31"/>
      <c r="K579" s="7" t="s">
        <v>19</v>
      </c>
      <c r="L579" s="8">
        <v>500.0</v>
      </c>
    </row>
    <row r="580">
      <c r="A580" s="10"/>
      <c r="B580" s="10"/>
      <c r="C580" s="9"/>
      <c r="D580" s="10"/>
      <c r="E580" s="10"/>
      <c r="F580" s="9"/>
      <c r="G580" s="10"/>
      <c r="H580" s="9"/>
      <c r="I580" s="20"/>
      <c r="J580" s="32"/>
      <c r="K580" s="7" t="s">
        <v>21</v>
      </c>
      <c r="L580" s="8">
        <v>700.0</v>
      </c>
    </row>
    <row r="581">
      <c r="A581" s="5">
        <v>194.0</v>
      </c>
      <c r="B581" s="24" t="s">
        <v>596</v>
      </c>
      <c r="C581" s="5" t="s">
        <v>24</v>
      </c>
      <c r="D581" s="5">
        <v>1.0</v>
      </c>
      <c r="E581" s="5" t="s">
        <v>28</v>
      </c>
      <c r="F581" s="5" t="s">
        <v>160</v>
      </c>
      <c r="G581" s="5" t="s">
        <v>597</v>
      </c>
      <c r="H581" s="5" t="s">
        <v>536</v>
      </c>
      <c r="I581" s="46" t="s">
        <v>576</v>
      </c>
      <c r="J581" s="47"/>
      <c r="K581" s="7" t="s">
        <v>14</v>
      </c>
      <c r="L581" s="7" t="s">
        <v>32</v>
      </c>
    </row>
    <row r="582">
      <c r="A582" s="9"/>
      <c r="B582" s="9"/>
      <c r="C582" s="9"/>
      <c r="D582" s="9"/>
      <c r="E582" s="9"/>
      <c r="F582" s="9"/>
      <c r="G582" s="9"/>
      <c r="H582" s="9"/>
      <c r="I582" s="19"/>
      <c r="J582" s="31"/>
      <c r="K582" s="7" t="s">
        <v>19</v>
      </c>
      <c r="L582" s="8">
        <v>250.0</v>
      </c>
    </row>
    <row r="583">
      <c r="A583" s="10"/>
      <c r="B583" s="10"/>
      <c r="C583" s="9"/>
      <c r="D583" s="10"/>
      <c r="E583" s="10"/>
      <c r="F583" s="9"/>
      <c r="G583" s="10"/>
      <c r="H583" s="10"/>
      <c r="I583" s="20"/>
      <c r="J583" s="32"/>
      <c r="K583" s="7" t="s">
        <v>21</v>
      </c>
      <c r="L583" s="7" t="s">
        <v>32</v>
      </c>
    </row>
    <row r="584">
      <c r="A584" s="5">
        <v>195.0</v>
      </c>
      <c r="B584" s="24" t="s">
        <v>598</v>
      </c>
      <c r="C584" s="5" t="s">
        <v>27</v>
      </c>
      <c r="D584" s="5">
        <v>3.0</v>
      </c>
      <c r="E584" s="5" t="s">
        <v>599</v>
      </c>
      <c r="F584" s="5" t="s">
        <v>160</v>
      </c>
      <c r="G584" s="5" t="s">
        <v>600</v>
      </c>
      <c r="H584" s="5" t="s">
        <v>36</v>
      </c>
      <c r="I584" s="46" t="s">
        <v>576</v>
      </c>
      <c r="J584" s="47"/>
      <c r="K584" s="7" t="s">
        <v>14</v>
      </c>
      <c r="L584" s="7" t="s">
        <v>32</v>
      </c>
    </row>
    <row r="585">
      <c r="A585" s="9"/>
      <c r="B585" s="9"/>
      <c r="C585" s="9"/>
      <c r="D585" s="9"/>
      <c r="E585" s="9"/>
      <c r="F585" s="9"/>
      <c r="G585" s="9"/>
      <c r="H585" s="9"/>
      <c r="I585" s="19"/>
      <c r="J585" s="31"/>
      <c r="K585" s="7" t="s">
        <v>19</v>
      </c>
      <c r="L585" s="8">
        <v>650.0</v>
      </c>
    </row>
    <row r="586">
      <c r="A586" s="10"/>
      <c r="B586" s="10"/>
      <c r="C586" s="9"/>
      <c r="D586" s="10"/>
      <c r="E586" s="10"/>
      <c r="F586" s="9"/>
      <c r="G586" s="10"/>
      <c r="H586" s="10"/>
      <c r="I586" s="20"/>
      <c r="J586" s="32"/>
      <c r="K586" s="7" t="s">
        <v>21</v>
      </c>
      <c r="L586" s="7" t="s">
        <v>32</v>
      </c>
    </row>
    <row r="587">
      <c r="A587" s="18">
        <v>196.0</v>
      </c>
      <c r="B587" s="24" t="s">
        <v>601</v>
      </c>
      <c r="C587" s="5" t="s">
        <v>12</v>
      </c>
      <c r="D587" s="30">
        <v>2.0</v>
      </c>
      <c r="E587" s="5" t="s">
        <v>602</v>
      </c>
      <c r="F587" s="5" t="s">
        <v>14</v>
      </c>
      <c r="G587" s="5" t="s">
        <v>603</v>
      </c>
      <c r="H587" s="5" t="s">
        <v>36</v>
      </c>
      <c r="I587" s="5" t="s">
        <v>17</v>
      </c>
      <c r="J587" s="5">
        <v>8.145914876E10</v>
      </c>
      <c r="K587" s="7" t="s">
        <v>14</v>
      </c>
      <c r="L587" s="8" t="s">
        <v>196</v>
      </c>
    </row>
    <row r="588">
      <c r="A588" s="19"/>
      <c r="B588" s="9"/>
      <c r="C588" s="9"/>
      <c r="D588" s="31"/>
      <c r="E588" s="9"/>
      <c r="F588" s="9"/>
      <c r="G588" s="9"/>
      <c r="H588" s="9"/>
      <c r="I588" s="9"/>
      <c r="J588" s="9"/>
      <c r="K588" s="7" t="s">
        <v>604</v>
      </c>
      <c r="L588" s="8" t="s">
        <v>276</v>
      </c>
    </row>
    <row r="589">
      <c r="A589" s="20"/>
      <c r="B589" s="10"/>
      <c r="C589" s="10"/>
      <c r="D589" s="32"/>
      <c r="E589" s="10"/>
      <c r="F589" s="10"/>
      <c r="G589" s="10"/>
      <c r="H589" s="10"/>
      <c r="I589" s="9"/>
      <c r="J589" s="9"/>
      <c r="K589" s="7" t="s">
        <v>605</v>
      </c>
      <c r="L589" s="8" t="s">
        <v>143</v>
      </c>
    </row>
    <row r="590">
      <c r="A590" s="18">
        <v>197.0</v>
      </c>
      <c r="B590" s="24" t="s">
        <v>606</v>
      </c>
      <c r="C590" s="5" t="s">
        <v>24</v>
      </c>
      <c r="D590" s="30">
        <v>1.0</v>
      </c>
      <c r="E590" s="5" t="s">
        <v>264</v>
      </c>
      <c r="F590" s="5" t="s">
        <v>14</v>
      </c>
      <c r="G590" s="5" t="s">
        <v>607</v>
      </c>
      <c r="H590" s="5" t="s">
        <v>547</v>
      </c>
      <c r="I590" s="5" t="s">
        <v>17</v>
      </c>
      <c r="J590" s="5">
        <v>8.582340031E10</v>
      </c>
      <c r="K590" s="7" t="s">
        <v>14</v>
      </c>
      <c r="L590" s="8" t="s">
        <v>210</v>
      </c>
    </row>
    <row r="591">
      <c r="A591" s="19"/>
      <c r="B591" s="9"/>
      <c r="C591" s="9"/>
      <c r="D591" s="31"/>
      <c r="E591" s="9"/>
      <c r="F591" s="9"/>
      <c r="G591" s="9"/>
      <c r="H591" s="9"/>
      <c r="I591" s="9"/>
      <c r="J591" s="9"/>
      <c r="K591" s="7" t="s">
        <v>19</v>
      </c>
      <c r="L591" s="8" t="s">
        <v>400</v>
      </c>
    </row>
    <row r="592">
      <c r="A592" s="20"/>
      <c r="B592" s="10"/>
      <c r="C592" s="10"/>
      <c r="D592" s="32"/>
      <c r="E592" s="10"/>
      <c r="F592" s="10"/>
      <c r="G592" s="10"/>
      <c r="H592" s="10"/>
      <c r="I592" s="9"/>
      <c r="J592" s="9"/>
      <c r="K592" s="7" t="s">
        <v>608</v>
      </c>
      <c r="L592" s="8">
        <v>350.0</v>
      </c>
    </row>
    <row r="593">
      <c r="A593" s="18">
        <v>198.0</v>
      </c>
      <c r="B593" s="24" t="s">
        <v>609</v>
      </c>
      <c r="C593" s="5" t="s">
        <v>24</v>
      </c>
      <c r="D593" s="30">
        <v>1.0</v>
      </c>
      <c r="E593" s="5" t="s">
        <v>264</v>
      </c>
      <c r="F593" s="5" t="s">
        <v>14</v>
      </c>
      <c r="G593" s="5" t="s">
        <v>399</v>
      </c>
      <c r="H593" s="5" t="s">
        <v>536</v>
      </c>
      <c r="I593" s="5" t="s">
        <v>17</v>
      </c>
      <c r="J593" s="5">
        <v>8.5823400311E10</v>
      </c>
      <c r="K593" s="7" t="s">
        <v>14</v>
      </c>
      <c r="L593" s="8" t="s">
        <v>610</v>
      </c>
    </row>
    <row r="594">
      <c r="A594" s="19"/>
      <c r="B594" s="9"/>
      <c r="C594" s="9"/>
      <c r="D594" s="31"/>
      <c r="E594" s="9"/>
      <c r="F594" s="9"/>
      <c r="G594" s="9"/>
      <c r="H594" s="9"/>
      <c r="I594" s="9"/>
      <c r="J594" s="9"/>
      <c r="K594" s="7" t="s">
        <v>19</v>
      </c>
      <c r="L594" s="7" t="s">
        <v>32</v>
      </c>
    </row>
    <row r="595">
      <c r="A595" s="20"/>
      <c r="B595" s="10"/>
      <c r="C595" s="10"/>
      <c r="D595" s="32"/>
      <c r="E595" s="10"/>
      <c r="F595" s="10"/>
      <c r="G595" s="10"/>
      <c r="H595" s="10"/>
      <c r="I595" s="9"/>
      <c r="J595" s="9"/>
      <c r="K595" s="7" t="s">
        <v>21</v>
      </c>
      <c r="L595" s="7" t="s">
        <v>32</v>
      </c>
    </row>
    <row r="596">
      <c r="A596" s="18">
        <v>199.0</v>
      </c>
      <c r="B596" s="24" t="s">
        <v>611</v>
      </c>
      <c r="C596" s="5" t="s">
        <v>24</v>
      </c>
      <c r="D596" s="30">
        <v>3.0</v>
      </c>
      <c r="E596" s="5" t="s">
        <v>612</v>
      </c>
      <c r="F596" s="5" t="s">
        <v>14</v>
      </c>
      <c r="G596" s="5" t="s">
        <v>613</v>
      </c>
      <c r="H596" s="5" t="s">
        <v>547</v>
      </c>
      <c r="I596" s="5" t="s">
        <v>614</v>
      </c>
      <c r="J596" s="13">
        <v>9.71569E16</v>
      </c>
      <c r="K596" s="7" t="s">
        <v>14</v>
      </c>
      <c r="L596" s="8" t="s">
        <v>143</v>
      </c>
    </row>
    <row r="597">
      <c r="A597" s="19"/>
      <c r="B597" s="9"/>
      <c r="C597" s="9"/>
      <c r="D597" s="31"/>
      <c r="E597" s="9"/>
      <c r="F597" s="9"/>
      <c r="G597" s="9"/>
      <c r="H597" s="9"/>
      <c r="I597" s="9"/>
      <c r="J597" s="9"/>
      <c r="K597" s="7" t="s">
        <v>19</v>
      </c>
      <c r="L597" s="8" t="s">
        <v>22</v>
      </c>
    </row>
    <row r="598">
      <c r="A598" s="20"/>
      <c r="B598" s="10"/>
      <c r="C598" s="10"/>
      <c r="D598" s="32"/>
      <c r="E598" s="10"/>
      <c r="F598" s="10"/>
      <c r="G598" s="10"/>
      <c r="H598" s="10"/>
      <c r="I598" s="9"/>
      <c r="J598" s="9"/>
      <c r="K598" s="7" t="s">
        <v>21</v>
      </c>
      <c r="L598" s="8" t="s">
        <v>53</v>
      </c>
    </row>
    <row r="599">
      <c r="A599" s="18">
        <v>200.0</v>
      </c>
      <c r="B599" s="24" t="s">
        <v>615</v>
      </c>
      <c r="C599" s="5" t="s">
        <v>24</v>
      </c>
      <c r="D599" s="30">
        <v>1.0</v>
      </c>
      <c r="E599" s="5" t="s">
        <v>28</v>
      </c>
      <c r="F599" s="5" t="s">
        <v>14</v>
      </c>
      <c r="G599" s="5" t="s">
        <v>616</v>
      </c>
      <c r="H599" s="5" t="s">
        <v>536</v>
      </c>
      <c r="I599" s="5" t="s">
        <v>17</v>
      </c>
      <c r="J599" s="5">
        <v>8.567822557E9</v>
      </c>
      <c r="K599" s="7" t="s">
        <v>14</v>
      </c>
      <c r="L599" s="8" t="s">
        <v>39</v>
      </c>
    </row>
    <row r="600">
      <c r="A600" s="19"/>
      <c r="B600" s="9"/>
      <c r="C600" s="9"/>
      <c r="D600" s="31"/>
      <c r="E600" s="9"/>
      <c r="F600" s="9"/>
      <c r="G600" s="9"/>
      <c r="H600" s="9"/>
      <c r="I600" s="9"/>
      <c r="J600" s="9"/>
      <c r="K600" s="7" t="s">
        <v>19</v>
      </c>
      <c r="L600" s="8" t="s">
        <v>39</v>
      </c>
    </row>
    <row r="601">
      <c r="A601" s="20"/>
      <c r="B601" s="10"/>
      <c r="C601" s="10"/>
      <c r="D601" s="32"/>
      <c r="E601" s="10"/>
      <c r="F601" s="10"/>
      <c r="G601" s="10"/>
      <c r="H601" s="10"/>
      <c r="I601" s="9"/>
      <c r="J601" s="9"/>
      <c r="K601" s="7" t="s">
        <v>21</v>
      </c>
      <c r="L601" s="7" t="s">
        <v>32</v>
      </c>
    </row>
    <row r="602">
      <c r="A602" s="18">
        <v>201.0</v>
      </c>
      <c r="B602" s="24" t="s">
        <v>617</v>
      </c>
      <c r="C602" s="5" t="s">
        <v>24</v>
      </c>
      <c r="D602" s="30">
        <v>1.0</v>
      </c>
      <c r="E602" s="5" t="s">
        <v>28</v>
      </c>
      <c r="F602" s="5" t="s">
        <v>14</v>
      </c>
      <c r="G602" s="5" t="s">
        <v>618</v>
      </c>
      <c r="H602" s="5" t="s">
        <v>36</v>
      </c>
      <c r="I602" s="5" t="s">
        <v>619</v>
      </c>
      <c r="J602" s="5">
        <v>8.3815153345E10</v>
      </c>
      <c r="K602" s="7" t="s">
        <v>14</v>
      </c>
      <c r="L602" s="8" t="s">
        <v>52</v>
      </c>
    </row>
    <row r="603">
      <c r="A603" s="19"/>
      <c r="B603" s="9"/>
      <c r="C603" s="9"/>
      <c r="D603" s="31"/>
      <c r="E603" s="9"/>
      <c r="F603" s="9"/>
      <c r="G603" s="9"/>
      <c r="H603" s="9"/>
      <c r="I603" s="9"/>
      <c r="J603" s="9"/>
      <c r="K603" s="7" t="s">
        <v>19</v>
      </c>
      <c r="L603" s="7" t="s">
        <v>32</v>
      </c>
    </row>
    <row r="604">
      <c r="A604" s="20"/>
      <c r="B604" s="10"/>
      <c r="C604" s="10"/>
      <c r="D604" s="32"/>
      <c r="E604" s="10"/>
      <c r="F604" s="10"/>
      <c r="G604" s="10"/>
      <c r="H604" s="10"/>
      <c r="I604" s="9"/>
      <c r="J604" s="9"/>
      <c r="K604" s="7" t="s">
        <v>21</v>
      </c>
      <c r="L604" s="7" t="s">
        <v>32</v>
      </c>
    </row>
    <row r="605">
      <c r="A605" s="18">
        <v>202.0</v>
      </c>
      <c r="B605" s="24" t="s">
        <v>620</v>
      </c>
      <c r="C605" s="5" t="s">
        <v>24</v>
      </c>
      <c r="D605" s="30">
        <v>3.0</v>
      </c>
      <c r="E605" s="5" t="s">
        <v>621</v>
      </c>
      <c r="F605" s="5" t="s">
        <v>14</v>
      </c>
      <c r="G605" s="5" t="s">
        <v>622</v>
      </c>
      <c r="H605" s="5" t="s">
        <v>100</v>
      </c>
      <c r="I605" s="5" t="s">
        <v>623</v>
      </c>
      <c r="J605" s="5">
        <v>8.5283092044E10</v>
      </c>
      <c r="K605" s="7" t="s">
        <v>14</v>
      </c>
      <c r="L605" s="8" t="s">
        <v>65</v>
      </c>
    </row>
    <row r="606">
      <c r="A606" s="19"/>
      <c r="B606" s="9"/>
      <c r="C606" s="9"/>
      <c r="D606" s="31"/>
      <c r="E606" s="9"/>
      <c r="F606" s="9"/>
      <c r="G606" s="9"/>
      <c r="H606" s="9"/>
      <c r="I606" s="9"/>
      <c r="J606" s="9"/>
      <c r="K606" s="7" t="s">
        <v>19</v>
      </c>
      <c r="L606" s="8" t="s">
        <v>65</v>
      </c>
    </row>
    <row r="607">
      <c r="A607" s="20"/>
      <c r="B607" s="10"/>
      <c r="C607" s="10"/>
      <c r="D607" s="32"/>
      <c r="E607" s="10"/>
      <c r="F607" s="10"/>
      <c r="G607" s="10"/>
      <c r="H607" s="10"/>
      <c r="I607" s="9"/>
      <c r="J607" s="9"/>
      <c r="K607" s="7" t="s">
        <v>21</v>
      </c>
      <c r="L607" s="8" t="s">
        <v>565</v>
      </c>
    </row>
    <row r="608">
      <c r="A608" s="18">
        <v>203.0</v>
      </c>
      <c r="B608" s="24" t="s">
        <v>624</v>
      </c>
      <c r="C608" s="5" t="s">
        <v>24</v>
      </c>
      <c r="D608" s="30">
        <v>3.0</v>
      </c>
      <c r="E608" s="5" t="s">
        <v>625</v>
      </c>
      <c r="F608" s="5" t="s">
        <v>14</v>
      </c>
      <c r="G608" s="5" t="s">
        <v>292</v>
      </c>
      <c r="H608" s="5" t="s">
        <v>547</v>
      </c>
      <c r="I608" s="5" t="s">
        <v>626</v>
      </c>
      <c r="J608" s="5">
        <v>8.8983982139E10</v>
      </c>
      <c r="K608" s="7" t="s">
        <v>14</v>
      </c>
      <c r="L608" s="8">
        <v>500.0</v>
      </c>
    </row>
    <row r="609">
      <c r="A609" s="19"/>
      <c r="B609" s="9"/>
      <c r="C609" s="9"/>
      <c r="D609" s="31"/>
      <c r="E609" s="9"/>
      <c r="F609" s="9"/>
      <c r="G609" s="9"/>
      <c r="H609" s="9"/>
      <c r="I609" s="9"/>
      <c r="J609" s="9"/>
      <c r="K609" s="7" t="s">
        <v>19</v>
      </c>
      <c r="L609" s="7" t="s">
        <v>32</v>
      </c>
    </row>
    <row r="610">
      <c r="A610" s="20"/>
      <c r="B610" s="10"/>
      <c r="C610" s="10"/>
      <c r="D610" s="32"/>
      <c r="E610" s="10"/>
      <c r="F610" s="10"/>
      <c r="G610" s="10"/>
      <c r="H610" s="10"/>
      <c r="I610" s="9"/>
      <c r="J610" s="9"/>
      <c r="K610" s="7" t="s">
        <v>21</v>
      </c>
      <c r="L610" s="7" t="s">
        <v>32</v>
      </c>
    </row>
    <row r="611">
      <c r="A611" s="18">
        <v>204.0</v>
      </c>
      <c r="B611" s="24" t="s">
        <v>627</v>
      </c>
      <c r="C611" s="5" t="s">
        <v>24</v>
      </c>
      <c r="D611" s="30">
        <v>2.0</v>
      </c>
      <c r="E611" s="5" t="s">
        <v>138</v>
      </c>
      <c r="F611" s="5" t="s">
        <v>14</v>
      </c>
      <c r="G611" s="5">
        <v>7.323</v>
      </c>
      <c r="H611" s="5" t="s">
        <v>100</v>
      </c>
      <c r="I611" s="5" t="s">
        <v>105</v>
      </c>
      <c r="J611" s="5">
        <v>8.3861868686E10</v>
      </c>
      <c r="K611" s="7" t="s">
        <v>14</v>
      </c>
      <c r="L611" s="8" t="s">
        <v>65</v>
      </c>
    </row>
    <row r="612">
      <c r="A612" s="19"/>
      <c r="B612" s="9"/>
      <c r="C612" s="9"/>
      <c r="D612" s="31"/>
      <c r="E612" s="9"/>
      <c r="F612" s="9"/>
      <c r="G612" s="9"/>
      <c r="H612" s="9"/>
      <c r="I612" s="9"/>
      <c r="J612" s="9"/>
      <c r="K612" s="7" t="s">
        <v>19</v>
      </c>
      <c r="L612" s="8" t="s">
        <v>65</v>
      </c>
    </row>
    <row r="613">
      <c r="A613" s="20"/>
      <c r="B613" s="10"/>
      <c r="C613" s="10"/>
      <c r="D613" s="32"/>
      <c r="E613" s="10"/>
      <c r="F613" s="10"/>
      <c r="G613" s="10"/>
      <c r="H613" s="10"/>
      <c r="I613" s="9"/>
      <c r="J613" s="9"/>
      <c r="K613" s="7" t="s">
        <v>21</v>
      </c>
      <c r="L613" s="8" t="s">
        <v>628</v>
      </c>
    </row>
    <row r="614">
      <c r="A614" s="18">
        <v>205.0</v>
      </c>
      <c r="B614" s="24" t="s">
        <v>629</v>
      </c>
      <c r="C614" s="5" t="s">
        <v>24</v>
      </c>
      <c r="D614" s="30">
        <v>1.0</v>
      </c>
      <c r="E614" s="5" t="s">
        <v>28</v>
      </c>
      <c r="F614" s="5" t="s">
        <v>14</v>
      </c>
      <c r="G614" s="5" t="s">
        <v>630</v>
      </c>
      <c r="H614" s="5" t="s">
        <v>536</v>
      </c>
      <c r="I614" s="5" t="s">
        <v>105</v>
      </c>
      <c r="J614" s="5">
        <v>8.7782020623E10</v>
      </c>
      <c r="K614" s="7" t="s">
        <v>14</v>
      </c>
      <c r="L614" s="8">
        <v>450.0</v>
      </c>
    </row>
    <row r="615">
      <c r="A615" s="19"/>
      <c r="B615" s="9"/>
      <c r="C615" s="9"/>
      <c r="D615" s="31"/>
      <c r="E615" s="9"/>
      <c r="F615" s="9"/>
      <c r="G615" s="9"/>
      <c r="H615" s="9"/>
      <c r="I615" s="9"/>
      <c r="J615" s="9"/>
      <c r="K615" s="7" t="s">
        <v>19</v>
      </c>
      <c r="L615" s="8">
        <v>700.0</v>
      </c>
    </row>
    <row r="616">
      <c r="A616" s="20"/>
      <c r="B616" s="10"/>
      <c r="C616" s="10"/>
      <c r="D616" s="32"/>
      <c r="E616" s="10"/>
      <c r="F616" s="10"/>
      <c r="G616" s="10"/>
      <c r="H616" s="10"/>
      <c r="I616" s="9"/>
      <c r="J616" s="9"/>
      <c r="K616" s="7" t="s">
        <v>21</v>
      </c>
      <c r="L616" s="7" t="s">
        <v>32</v>
      </c>
    </row>
    <row r="617">
      <c r="A617" s="18">
        <v>206.0</v>
      </c>
      <c r="B617" s="24" t="s">
        <v>631</v>
      </c>
      <c r="C617" s="5" t="s">
        <v>24</v>
      </c>
      <c r="D617" s="30">
        <v>1.0</v>
      </c>
      <c r="E617" s="5" t="s">
        <v>28</v>
      </c>
      <c r="F617" s="5" t="s">
        <v>14</v>
      </c>
      <c r="G617" s="5" t="s">
        <v>632</v>
      </c>
      <c r="H617" s="5" t="s">
        <v>547</v>
      </c>
      <c r="I617" s="5" t="s">
        <v>633</v>
      </c>
      <c r="J617" s="5">
        <v>8.512126616E10</v>
      </c>
      <c r="K617" s="7" t="s">
        <v>14</v>
      </c>
      <c r="L617" s="8" t="s">
        <v>52</v>
      </c>
    </row>
    <row r="618">
      <c r="A618" s="19"/>
      <c r="B618" s="9"/>
      <c r="C618" s="9"/>
      <c r="D618" s="31"/>
      <c r="E618" s="9"/>
      <c r="F618" s="9"/>
      <c r="G618" s="9"/>
      <c r="H618" s="9"/>
      <c r="I618" s="9"/>
      <c r="J618" s="9"/>
      <c r="K618" s="7" t="s">
        <v>538</v>
      </c>
      <c r="L618" s="8" t="s">
        <v>133</v>
      </c>
    </row>
    <row r="619">
      <c r="A619" s="20"/>
      <c r="B619" s="10"/>
      <c r="C619" s="10"/>
      <c r="D619" s="32"/>
      <c r="E619" s="10"/>
      <c r="F619" s="10"/>
      <c r="G619" s="10"/>
      <c r="H619" s="10"/>
      <c r="I619" s="9"/>
      <c r="J619" s="9"/>
      <c r="K619" s="7" t="s">
        <v>21</v>
      </c>
      <c r="L619" s="7" t="s">
        <v>32</v>
      </c>
    </row>
    <row r="620">
      <c r="A620" s="18">
        <v>207.0</v>
      </c>
      <c r="B620" s="24" t="s">
        <v>634</v>
      </c>
      <c r="C620" s="5" t="s">
        <v>24</v>
      </c>
      <c r="D620" s="30">
        <v>2.0</v>
      </c>
      <c r="E620" s="5" t="s">
        <v>187</v>
      </c>
      <c r="F620" s="5" t="s">
        <v>14</v>
      </c>
      <c r="G620" s="5" t="s">
        <v>635</v>
      </c>
      <c r="H620" s="5" t="s">
        <v>536</v>
      </c>
      <c r="I620" s="5" t="s">
        <v>105</v>
      </c>
      <c r="J620" s="5">
        <v>8.5770029066E10</v>
      </c>
      <c r="K620" s="7" t="s">
        <v>14</v>
      </c>
      <c r="L620" s="8" t="s">
        <v>20</v>
      </c>
    </row>
    <row r="621">
      <c r="A621" s="19"/>
      <c r="B621" s="9"/>
      <c r="C621" s="9"/>
      <c r="D621" s="31"/>
      <c r="E621" s="9"/>
      <c r="F621" s="9"/>
      <c r="G621" s="9"/>
      <c r="H621" s="9"/>
      <c r="I621" s="9"/>
      <c r="J621" s="9"/>
      <c r="K621" s="7" t="s">
        <v>19</v>
      </c>
      <c r="L621" s="8" t="s">
        <v>196</v>
      </c>
    </row>
    <row r="622">
      <c r="A622" s="20"/>
      <c r="B622" s="10"/>
      <c r="C622" s="10"/>
      <c r="D622" s="32"/>
      <c r="E622" s="10"/>
      <c r="F622" s="10"/>
      <c r="G622" s="10"/>
      <c r="H622" s="10"/>
      <c r="I622" s="9"/>
      <c r="J622" s="9"/>
      <c r="K622" s="7" t="s">
        <v>21</v>
      </c>
      <c r="L622" s="8" t="s">
        <v>84</v>
      </c>
    </row>
    <row r="623">
      <c r="A623" s="18">
        <v>208.0</v>
      </c>
      <c r="B623" s="24" t="s">
        <v>636</v>
      </c>
      <c r="C623" s="5" t="s">
        <v>24</v>
      </c>
      <c r="D623" s="30">
        <v>1.0</v>
      </c>
      <c r="E623" s="5" t="s">
        <v>28</v>
      </c>
      <c r="F623" s="5" t="s">
        <v>14</v>
      </c>
      <c r="G623" s="5" t="s">
        <v>341</v>
      </c>
      <c r="H623" s="5" t="s">
        <v>547</v>
      </c>
      <c r="I623" s="5" t="s">
        <v>637</v>
      </c>
      <c r="J623" s="5">
        <v>8.5175463797E10</v>
      </c>
      <c r="K623" s="7" t="s">
        <v>14</v>
      </c>
      <c r="L623" s="8" t="s">
        <v>52</v>
      </c>
    </row>
    <row r="624">
      <c r="A624" s="19"/>
      <c r="B624" s="9"/>
      <c r="C624" s="9"/>
      <c r="D624" s="31"/>
      <c r="E624" s="9"/>
      <c r="F624" s="9"/>
      <c r="G624" s="9"/>
      <c r="H624" s="9"/>
      <c r="I624" s="9"/>
      <c r="J624" s="9"/>
      <c r="K624" s="7" t="s">
        <v>19</v>
      </c>
      <c r="L624" s="8" t="s">
        <v>330</v>
      </c>
    </row>
    <row r="625">
      <c r="A625" s="20"/>
      <c r="B625" s="10"/>
      <c r="C625" s="10"/>
      <c r="D625" s="32"/>
      <c r="E625" s="10"/>
      <c r="F625" s="10"/>
      <c r="G625" s="10"/>
      <c r="H625" s="10"/>
      <c r="I625" s="9"/>
      <c r="J625" s="9"/>
      <c r="K625" s="7" t="s">
        <v>21</v>
      </c>
      <c r="L625" s="8" t="s">
        <v>49</v>
      </c>
    </row>
    <row r="626">
      <c r="A626" s="18">
        <v>209.0</v>
      </c>
      <c r="B626" s="24" t="s">
        <v>638</v>
      </c>
      <c r="C626" s="5" t="s">
        <v>24</v>
      </c>
      <c r="D626" s="30">
        <v>1.0</v>
      </c>
      <c r="E626" s="5" t="s">
        <v>28</v>
      </c>
      <c r="F626" s="5" t="s">
        <v>14</v>
      </c>
      <c r="G626" s="5" t="s">
        <v>639</v>
      </c>
      <c r="H626" s="5" t="s">
        <v>36</v>
      </c>
      <c r="I626" s="5" t="s">
        <v>640</v>
      </c>
      <c r="J626" s="5">
        <v>8.1287482303E10</v>
      </c>
      <c r="K626" s="7" t="s">
        <v>14</v>
      </c>
      <c r="L626" s="8" t="s">
        <v>641</v>
      </c>
    </row>
    <row r="627">
      <c r="A627" s="19"/>
      <c r="B627" s="9"/>
      <c r="C627" s="9"/>
      <c r="D627" s="31"/>
      <c r="E627" s="9"/>
      <c r="F627" s="9"/>
      <c r="G627" s="9"/>
      <c r="H627" s="9"/>
      <c r="I627" s="9"/>
      <c r="J627" s="9"/>
      <c r="K627" s="7" t="s">
        <v>19</v>
      </c>
      <c r="L627" s="8" t="s">
        <v>642</v>
      </c>
    </row>
    <row r="628">
      <c r="A628" s="20"/>
      <c r="B628" s="10"/>
      <c r="C628" s="10"/>
      <c r="D628" s="32"/>
      <c r="E628" s="10"/>
      <c r="F628" s="10"/>
      <c r="G628" s="10"/>
      <c r="H628" s="10"/>
      <c r="I628" s="9"/>
      <c r="J628" s="9"/>
      <c r="K628" s="7" t="s">
        <v>21</v>
      </c>
      <c r="L628" s="7" t="s">
        <v>32</v>
      </c>
    </row>
    <row r="629">
      <c r="A629" s="18">
        <v>210.0</v>
      </c>
      <c r="B629" s="24" t="s">
        <v>643</v>
      </c>
      <c r="C629" s="5" t="s">
        <v>24</v>
      </c>
      <c r="D629" s="30">
        <v>1.0</v>
      </c>
      <c r="E629" s="5" t="s">
        <v>28</v>
      </c>
      <c r="F629" s="5" t="s">
        <v>14</v>
      </c>
      <c r="G629" s="5" t="s">
        <v>644</v>
      </c>
      <c r="H629" s="5" t="s">
        <v>36</v>
      </c>
      <c r="I629" s="18" t="s">
        <v>645</v>
      </c>
      <c r="J629" s="28"/>
      <c r="K629" s="7" t="s">
        <v>14</v>
      </c>
      <c r="L629" s="8" t="s">
        <v>22</v>
      </c>
    </row>
    <row r="630">
      <c r="A630" s="19"/>
      <c r="B630" s="9"/>
      <c r="C630" s="9"/>
      <c r="D630" s="31"/>
      <c r="E630" s="9"/>
      <c r="F630" s="9"/>
      <c r="G630" s="9"/>
      <c r="H630" s="9"/>
      <c r="I630" s="19"/>
      <c r="K630" s="7" t="s">
        <v>19</v>
      </c>
      <c r="L630" s="7" t="s">
        <v>32</v>
      </c>
    </row>
    <row r="631">
      <c r="A631" s="20"/>
      <c r="B631" s="10"/>
      <c r="C631" s="10"/>
      <c r="D631" s="32"/>
      <c r="E631" s="10"/>
      <c r="F631" s="10"/>
      <c r="G631" s="10"/>
      <c r="H631" s="10"/>
      <c r="I631" s="19"/>
      <c r="K631" s="7" t="s">
        <v>21</v>
      </c>
      <c r="L631" s="8">
        <v>100.0</v>
      </c>
    </row>
    <row r="632">
      <c r="A632" s="18">
        <v>211.0</v>
      </c>
      <c r="B632" s="24" t="s">
        <v>646</v>
      </c>
      <c r="C632" s="5" t="s">
        <v>24</v>
      </c>
      <c r="D632" s="30">
        <v>1.0</v>
      </c>
      <c r="E632" s="5" t="s">
        <v>231</v>
      </c>
      <c r="F632" s="5" t="s">
        <v>14</v>
      </c>
      <c r="G632" s="5" t="s">
        <v>647</v>
      </c>
      <c r="H632" s="5" t="s">
        <v>536</v>
      </c>
      <c r="I632" s="18" t="s">
        <v>645</v>
      </c>
      <c r="J632" s="28"/>
      <c r="K632" s="7" t="s">
        <v>14</v>
      </c>
      <c r="L632" s="8">
        <v>400.0</v>
      </c>
    </row>
    <row r="633">
      <c r="A633" s="19"/>
      <c r="B633" s="9"/>
      <c r="C633" s="9"/>
      <c r="D633" s="31"/>
      <c r="E633" s="9"/>
      <c r="F633" s="9"/>
      <c r="G633" s="9"/>
      <c r="H633" s="9"/>
      <c r="I633" s="19"/>
      <c r="K633" s="7" t="s">
        <v>648</v>
      </c>
      <c r="L633" s="8">
        <v>450.0</v>
      </c>
    </row>
    <row r="634">
      <c r="A634" s="20"/>
      <c r="B634" s="10"/>
      <c r="C634" s="10"/>
      <c r="D634" s="32"/>
      <c r="E634" s="10"/>
      <c r="F634" s="10"/>
      <c r="G634" s="10"/>
      <c r="H634" s="10"/>
      <c r="I634" s="19"/>
      <c r="K634" s="7" t="s">
        <v>649</v>
      </c>
      <c r="L634" s="8">
        <v>550.0</v>
      </c>
    </row>
    <row r="635">
      <c r="A635" s="18">
        <v>212.0</v>
      </c>
      <c r="B635" s="24" t="s">
        <v>650</v>
      </c>
      <c r="C635" s="5" t="s">
        <v>24</v>
      </c>
      <c r="D635" s="30">
        <v>1.0</v>
      </c>
      <c r="E635" s="5" t="s">
        <v>28</v>
      </c>
      <c r="F635" s="5" t="s">
        <v>14</v>
      </c>
      <c r="G635" s="5">
        <v>1.465</v>
      </c>
      <c r="H635" s="5" t="s">
        <v>36</v>
      </c>
      <c r="I635" s="18" t="s">
        <v>645</v>
      </c>
      <c r="J635" s="28"/>
      <c r="K635" s="7" t="s">
        <v>14</v>
      </c>
      <c r="L635" s="8">
        <v>300.0</v>
      </c>
    </row>
    <row r="636">
      <c r="A636" s="19"/>
      <c r="B636" s="9"/>
      <c r="C636" s="9"/>
      <c r="D636" s="31"/>
      <c r="E636" s="9"/>
      <c r="F636" s="9"/>
      <c r="G636" s="9"/>
      <c r="H636" s="9"/>
      <c r="I636" s="19"/>
      <c r="K636" s="7" t="s">
        <v>19</v>
      </c>
      <c r="L636" s="8">
        <v>350.0</v>
      </c>
    </row>
    <row r="637">
      <c r="A637" s="20"/>
      <c r="B637" s="10"/>
      <c r="C637" s="10"/>
      <c r="D637" s="32"/>
      <c r="E637" s="10"/>
      <c r="F637" s="10"/>
      <c r="G637" s="10"/>
      <c r="H637" s="10"/>
      <c r="I637" s="19"/>
      <c r="K637" s="7" t="s">
        <v>651</v>
      </c>
      <c r="L637" s="8">
        <v>150.0</v>
      </c>
    </row>
    <row r="638">
      <c r="A638" s="18">
        <v>213.0</v>
      </c>
      <c r="B638" s="24" t="s">
        <v>652</v>
      </c>
      <c r="C638" s="5" t="s">
        <v>24</v>
      </c>
      <c r="D638" s="30">
        <v>1.0</v>
      </c>
      <c r="E638" s="5" t="s">
        <v>28</v>
      </c>
      <c r="F638" s="5" t="s">
        <v>14</v>
      </c>
      <c r="G638" s="5">
        <v>7.528</v>
      </c>
      <c r="H638" s="5" t="s">
        <v>36</v>
      </c>
      <c r="I638" s="5" t="s">
        <v>105</v>
      </c>
      <c r="J638" s="5">
        <v>8.1281080833E10</v>
      </c>
      <c r="K638" s="7" t="s">
        <v>14</v>
      </c>
      <c r="L638" s="8">
        <v>300.0</v>
      </c>
    </row>
    <row r="639">
      <c r="A639" s="19"/>
      <c r="B639" s="9"/>
      <c r="C639" s="9"/>
      <c r="D639" s="31"/>
      <c r="E639" s="9"/>
      <c r="F639" s="9"/>
      <c r="G639" s="9"/>
      <c r="H639" s="9"/>
      <c r="I639" s="9"/>
      <c r="J639" s="9"/>
      <c r="K639" s="7" t="s">
        <v>19</v>
      </c>
      <c r="L639" s="7" t="s">
        <v>32</v>
      </c>
    </row>
    <row r="640">
      <c r="A640" s="20"/>
      <c r="B640" s="10"/>
      <c r="C640" s="10"/>
      <c r="D640" s="32"/>
      <c r="E640" s="10"/>
      <c r="F640" s="10"/>
      <c r="G640" s="10"/>
      <c r="H640" s="10"/>
      <c r="I640" s="9"/>
      <c r="J640" s="9"/>
      <c r="K640" s="7" t="s">
        <v>21</v>
      </c>
      <c r="L640" s="7" t="s">
        <v>32</v>
      </c>
    </row>
    <row r="641">
      <c r="A641" s="18">
        <v>214.0</v>
      </c>
      <c r="B641" s="24" t="s">
        <v>653</v>
      </c>
      <c r="C641" s="5" t="s">
        <v>24</v>
      </c>
      <c r="D641" s="51"/>
      <c r="E641" s="11"/>
      <c r="F641" s="5" t="s">
        <v>14</v>
      </c>
      <c r="G641" s="5">
        <v>9.965</v>
      </c>
      <c r="H641" s="5" t="s">
        <v>547</v>
      </c>
      <c r="I641" s="5" t="s">
        <v>654</v>
      </c>
      <c r="J641" s="5">
        <v>8.5711032936E10</v>
      </c>
      <c r="K641" s="7" t="s">
        <v>14</v>
      </c>
      <c r="L641" s="12"/>
    </row>
    <row r="642">
      <c r="A642" s="19"/>
      <c r="B642" s="9"/>
      <c r="C642" s="9"/>
      <c r="D642" s="31"/>
      <c r="E642" s="9"/>
      <c r="F642" s="9"/>
      <c r="G642" s="9"/>
      <c r="H642" s="9"/>
      <c r="I642" s="9"/>
      <c r="J642" s="9"/>
      <c r="K642" s="7" t="s">
        <v>19</v>
      </c>
      <c r="L642" s="12"/>
    </row>
    <row r="643">
      <c r="A643" s="20"/>
      <c r="B643" s="10"/>
      <c r="C643" s="10"/>
      <c r="D643" s="32"/>
      <c r="E643" s="10"/>
      <c r="F643" s="10"/>
      <c r="G643" s="10"/>
      <c r="H643" s="10"/>
      <c r="I643" s="9"/>
      <c r="J643" s="9"/>
      <c r="K643" s="7" t="s">
        <v>21</v>
      </c>
      <c r="L643" s="12"/>
    </row>
    <row r="644">
      <c r="A644" s="18">
        <v>215.0</v>
      </c>
      <c r="B644" s="24" t="s">
        <v>655</v>
      </c>
      <c r="C644" s="5" t="s">
        <v>24</v>
      </c>
      <c r="D644" s="30">
        <v>1.0</v>
      </c>
      <c r="E644" s="5" t="s">
        <v>152</v>
      </c>
      <c r="F644" s="5" t="s">
        <v>14</v>
      </c>
      <c r="G644" s="5" t="s">
        <v>656</v>
      </c>
      <c r="H644" s="5" t="s">
        <v>547</v>
      </c>
      <c r="I644" s="5" t="s">
        <v>657</v>
      </c>
      <c r="J644" s="5">
        <v>8.98778573E9</v>
      </c>
      <c r="K644" s="7" t="s">
        <v>14</v>
      </c>
      <c r="L644" s="8" t="s">
        <v>84</v>
      </c>
    </row>
    <row r="645">
      <c r="A645" s="19"/>
      <c r="B645" s="9"/>
      <c r="C645" s="9"/>
      <c r="D645" s="31"/>
      <c r="E645" s="9"/>
      <c r="F645" s="9"/>
      <c r="G645" s="9"/>
      <c r="H645" s="9"/>
      <c r="I645" s="9"/>
      <c r="J645" s="9"/>
      <c r="K645" s="7" t="s">
        <v>19</v>
      </c>
      <c r="L645" s="8" t="s">
        <v>84</v>
      </c>
    </row>
    <row r="646">
      <c r="A646" s="20"/>
      <c r="B646" s="10"/>
      <c r="C646" s="10"/>
      <c r="D646" s="32"/>
      <c r="E646" s="10"/>
      <c r="F646" s="10"/>
      <c r="G646" s="10"/>
      <c r="H646" s="10"/>
      <c r="I646" s="9"/>
      <c r="J646" s="9"/>
      <c r="K646" s="7" t="s">
        <v>21</v>
      </c>
      <c r="L646" s="7" t="s">
        <v>32</v>
      </c>
    </row>
    <row r="647">
      <c r="A647" s="18">
        <v>216.0</v>
      </c>
      <c r="B647" s="24" t="s">
        <v>658</v>
      </c>
      <c r="C647" s="5" t="s">
        <v>24</v>
      </c>
      <c r="D647" s="30">
        <v>3.0</v>
      </c>
      <c r="E647" s="5" t="s">
        <v>659</v>
      </c>
      <c r="F647" s="5" t="s">
        <v>14</v>
      </c>
      <c r="G647" s="5" t="s">
        <v>660</v>
      </c>
      <c r="H647" s="5" t="s">
        <v>36</v>
      </c>
      <c r="I647" s="5" t="s">
        <v>105</v>
      </c>
      <c r="J647" s="5">
        <v>8.1219013731E10</v>
      </c>
      <c r="K647" s="7" t="s">
        <v>14</v>
      </c>
      <c r="L647" s="8" t="s">
        <v>130</v>
      </c>
    </row>
    <row r="648">
      <c r="A648" s="19"/>
      <c r="B648" s="9"/>
      <c r="C648" s="9"/>
      <c r="D648" s="31"/>
      <c r="E648" s="9"/>
      <c r="F648" s="9"/>
      <c r="G648" s="9"/>
      <c r="H648" s="9"/>
      <c r="I648" s="9"/>
      <c r="J648" s="9"/>
      <c r="K648" s="7" t="s">
        <v>19</v>
      </c>
      <c r="L648" s="8" t="s">
        <v>143</v>
      </c>
    </row>
    <row r="649">
      <c r="A649" s="20"/>
      <c r="B649" s="10"/>
      <c r="C649" s="10"/>
      <c r="D649" s="32"/>
      <c r="E649" s="10"/>
      <c r="F649" s="10"/>
      <c r="G649" s="10"/>
      <c r="H649" s="10"/>
      <c r="I649" s="9"/>
      <c r="J649" s="9"/>
      <c r="K649" s="7" t="s">
        <v>661</v>
      </c>
      <c r="L649" s="8" t="s">
        <v>42</v>
      </c>
    </row>
    <row r="650">
      <c r="A650" s="18">
        <v>217.0</v>
      </c>
      <c r="B650" s="24" t="s">
        <v>662</v>
      </c>
      <c r="C650" s="5" t="s">
        <v>24</v>
      </c>
      <c r="D650" s="30">
        <v>1.0</v>
      </c>
      <c r="E650" s="5" t="s">
        <v>122</v>
      </c>
      <c r="F650" s="5" t="s">
        <v>14</v>
      </c>
      <c r="G650" s="5">
        <v>3.577</v>
      </c>
      <c r="H650" s="5" t="s">
        <v>536</v>
      </c>
      <c r="I650" s="18" t="s">
        <v>645</v>
      </c>
      <c r="J650" s="28"/>
      <c r="K650" s="7" t="s">
        <v>14</v>
      </c>
      <c r="L650" s="8">
        <v>400.0</v>
      </c>
    </row>
    <row r="651">
      <c r="A651" s="19"/>
      <c r="B651" s="9"/>
      <c r="C651" s="9"/>
      <c r="D651" s="31"/>
      <c r="E651" s="9"/>
      <c r="F651" s="9"/>
      <c r="G651" s="9"/>
      <c r="H651" s="9"/>
      <c r="I651" s="19"/>
      <c r="K651" s="7" t="s">
        <v>19</v>
      </c>
      <c r="L651" s="8">
        <v>400.0</v>
      </c>
    </row>
    <row r="652">
      <c r="A652" s="20"/>
      <c r="B652" s="10"/>
      <c r="C652" s="10"/>
      <c r="D652" s="32"/>
      <c r="E652" s="10"/>
      <c r="F652" s="10"/>
      <c r="G652" s="10"/>
      <c r="H652" s="10"/>
      <c r="I652" s="19"/>
      <c r="K652" s="7" t="s">
        <v>663</v>
      </c>
      <c r="L652" s="8">
        <v>150.0</v>
      </c>
    </row>
    <row r="653">
      <c r="A653" s="18">
        <v>218.0</v>
      </c>
      <c r="B653" s="24" t="s">
        <v>664</v>
      </c>
      <c r="C653" s="5" t="s">
        <v>24</v>
      </c>
      <c r="D653" s="30">
        <v>2.0</v>
      </c>
      <c r="E653" s="5" t="s">
        <v>138</v>
      </c>
      <c r="F653" s="5" t="s">
        <v>14</v>
      </c>
      <c r="G653" s="5" t="s">
        <v>341</v>
      </c>
      <c r="H653" s="5" t="s">
        <v>536</v>
      </c>
      <c r="I653" s="5" t="s">
        <v>105</v>
      </c>
      <c r="J653" s="5">
        <v>8.11263383E9</v>
      </c>
      <c r="K653" s="7" t="s">
        <v>14</v>
      </c>
      <c r="L653" s="8" t="s">
        <v>106</v>
      </c>
    </row>
    <row r="654">
      <c r="A654" s="19"/>
      <c r="B654" s="9"/>
      <c r="C654" s="9"/>
      <c r="D654" s="31"/>
      <c r="E654" s="9"/>
      <c r="F654" s="9"/>
      <c r="G654" s="9"/>
      <c r="H654" s="9"/>
      <c r="I654" s="9"/>
      <c r="J654" s="9"/>
      <c r="K654" s="7" t="s">
        <v>19</v>
      </c>
      <c r="L654" s="8" t="s">
        <v>106</v>
      </c>
    </row>
    <row r="655">
      <c r="A655" s="20"/>
      <c r="B655" s="10"/>
      <c r="C655" s="10"/>
      <c r="D655" s="32"/>
      <c r="E655" s="10"/>
      <c r="F655" s="10"/>
      <c r="G655" s="10"/>
      <c r="H655" s="10"/>
      <c r="I655" s="9"/>
      <c r="J655" s="9"/>
      <c r="K655" s="7" t="s">
        <v>21</v>
      </c>
      <c r="L655" s="8" t="s">
        <v>222</v>
      </c>
    </row>
    <row r="656">
      <c r="A656" s="18">
        <v>219.0</v>
      </c>
      <c r="B656" s="24" t="s">
        <v>665</v>
      </c>
      <c r="C656" s="5" t="s">
        <v>24</v>
      </c>
      <c r="D656" s="30">
        <v>2.0</v>
      </c>
      <c r="E656" s="5" t="s">
        <v>666</v>
      </c>
      <c r="F656" s="5" t="s">
        <v>14</v>
      </c>
      <c r="G656" s="5" t="s">
        <v>667</v>
      </c>
      <c r="H656" s="5" t="s">
        <v>36</v>
      </c>
      <c r="I656" s="18" t="s">
        <v>645</v>
      </c>
      <c r="J656" s="28"/>
      <c r="K656" s="7" t="s">
        <v>14</v>
      </c>
      <c r="L656" s="8">
        <v>312.0</v>
      </c>
    </row>
    <row r="657">
      <c r="A657" s="19"/>
      <c r="B657" s="9"/>
      <c r="C657" s="9"/>
      <c r="D657" s="31"/>
      <c r="E657" s="9"/>
      <c r="F657" s="9"/>
      <c r="G657" s="9"/>
      <c r="H657" s="9"/>
      <c r="I657" s="19"/>
      <c r="K657" s="7" t="s">
        <v>651</v>
      </c>
      <c r="L657" s="8">
        <v>265.0</v>
      </c>
    </row>
    <row r="658">
      <c r="A658" s="20"/>
      <c r="B658" s="10"/>
      <c r="C658" s="10"/>
      <c r="D658" s="32"/>
      <c r="E658" s="10"/>
      <c r="F658" s="10"/>
      <c r="G658" s="10"/>
      <c r="H658" s="10"/>
      <c r="I658" s="19"/>
      <c r="K658" s="7" t="s">
        <v>21</v>
      </c>
      <c r="L658" s="7" t="s">
        <v>32</v>
      </c>
    </row>
    <row r="659">
      <c r="A659" s="18">
        <v>220.0</v>
      </c>
      <c r="B659" s="24" t="s">
        <v>668</v>
      </c>
      <c r="C659" s="5" t="s">
        <v>24</v>
      </c>
      <c r="D659" s="30">
        <v>2.0</v>
      </c>
      <c r="E659" s="5" t="s">
        <v>669</v>
      </c>
      <c r="F659" s="5" t="s">
        <v>14</v>
      </c>
      <c r="G659" s="5">
        <v>6.078</v>
      </c>
      <c r="H659" s="5" t="s">
        <v>36</v>
      </c>
      <c r="I659" s="18" t="s">
        <v>645</v>
      </c>
      <c r="J659" s="28"/>
      <c r="K659" s="7" t="s">
        <v>14</v>
      </c>
      <c r="L659" s="8">
        <v>700.0</v>
      </c>
    </row>
    <row r="660">
      <c r="A660" s="19"/>
      <c r="B660" s="9"/>
      <c r="C660" s="9"/>
      <c r="D660" s="31"/>
      <c r="E660" s="9"/>
      <c r="F660" s="9"/>
      <c r="G660" s="9"/>
      <c r="H660" s="9"/>
      <c r="I660" s="19"/>
      <c r="K660" s="7" t="s">
        <v>19</v>
      </c>
      <c r="L660" s="7" t="s">
        <v>32</v>
      </c>
    </row>
    <row r="661">
      <c r="A661" s="20"/>
      <c r="B661" s="10"/>
      <c r="C661" s="10"/>
      <c r="D661" s="32"/>
      <c r="E661" s="10"/>
      <c r="F661" s="10"/>
      <c r="G661" s="10"/>
      <c r="H661" s="10"/>
      <c r="I661" s="19"/>
      <c r="K661" s="7" t="s">
        <v>21</v>
      </c>
      <c r="L661" s="7" t="s">
        <v>32</v>
      </c>
    </row>
    <row r="662">
      <c r="A662" s="18">
        <v>221.0</v>
      </c>
      <c r="B662" s="24" t="s">
        <v>670</v>
      </c>
      <c r="C662" s="5" t="s">
        <v>24</v>
      </c>
      <c r="D662" s="30">
        <v>3.0</v>
      </c>
      <c r="E662" s="5" t="s">
        <v>671</v>
      </c>
      <c r="F662" s="5" t="s">
        <v>14</v>
      </c>
      <c r="G662" s="5">
        <v>2.507</v>
      </c>
      <c r="H662" s="5" t="s">
        <v>547</v>
      </c>
      <c r="I662" s="5" t="s">
        <v>17</v>
      </c>
      <c r="J662" s="5">
        <v>8.5714455153E10</v>
      </c>
      <c r="K662" s="7" t="s">
        <v>14</v>
      </c>
      <c r="L662" s="8">
        <v>150.0</v>
      </c>
    </row>
    <row r="663">
      <c r="A663" s="19"/>
      <c r="B663" s="9"/>
      <c r="C663" s="9"/>
      <c r="D663" s="31"/>
      <c r="E663" s="9"/>
      <c r="F663" s="9"/>
      <c r="G663" s="9"/>
      <c r="H663" s="9"/>
      <c r="I663" s="9"/>
      <c r="J663" s="9"/>
      <c r="K663" s="7" t="s">
        <v>19</v>
      </c>
      <c r="L663" s="8">
        <v>150.0</v>
      </c>
    </row>
    <row r="664">
      <c r="A664" s="20"/>
      <c r="B664" s="10"/>
      <c r="C664" s="10"/>
      <c r="D664" s="32"/>
      <c r="E664" s="10"/>
      <c r="F664" s="10"/>
      <c r="G664" s="10"/>
      <c r="H664" s="10"/>
      <c r="I664" s="9"/>
      <c r="J664" s="9"/>
      <c r="K664" s="7" t="s">
        <v>538</v>
      </c>
      <c r="L664" s="8">
        <v>350.0</v>
      </c>
    </row>
    <row r="665">
      <c r="A665" s="18">
        <v>222.0</v>
      </c>
      <c r="B665" s="24" t="s">
        <v>672</v>
      </c>
      <c r="C665" s="5" t="s">
        <v>24</v>
      </c>
      <c r="D665" s="30">
        <v>1.0</v>
      </c>
      <c r="E665" s="5" t="s">
        <v>28</v>
      </c>
      <c r="F665" s="5" t="s">
        <v>14</v>
      </c>
      <c r="G665" s="5" t="s">
        <v>673</v>
      </c>
      <c r="H665" s="5" t="s">
        <v>547</v>
      </c>
      <c r="I665" s="5" t="s">
        <v>17</v>
      </c>
      <c r="J665" s="5">
        <v>8.5711336352E10</v>
      </c>
      <c r="K665" s="7" t="s">
        <v>14</v>
      </c>
      <c r="L665" s="8" t="s">
        <v>57</v>
      </c>
    </row>
    <row r="666">
      <c r="A666" s="19"/>
      <c r="B666" s="9"/>
      <c r="C666" s="9"/>
      <c r="D666" s="31"/>
      <c r="E666" s="9"/>
      <c r="F666" s="9"/>
      <c r="G666" s="9"/>
      <c r="H666" s="9"/>
      <c r="I666" s="9"/>
      <c r="J666" s="9"/>
      <c r="K666" s="7" t="s">
        <v>19</v>
      </c>
      <c r="L666" s="8" t="s">
        <v>57</v>
      </c>
    </row>
    <row r="667">
      <c r="A667" s="20"/>
      <c r="B667" s="10"/>
      <c r="C667" s="10"/>
      <c r="D667" s="32"/>
      <c r="E667" s="10"/>
      <c r="F667" s="10"/>
      <c r="G667" s="10"/>
      <c r="H667" s="10"/>
      <c r="I667" s="9"/>
      <c r="J667" s="9"/>
      <c r="K667" s="7" t="s">
        <v>21</v>
      </c>
      <c r="L667" s="8" t="s">
        <v>210</v>
      </c>
    </row>
    <row r="668">
      <c r="A668" s="18">
        <v>223.0</v>
      </c>
      <c r="B668" s="24" t="s">
        <v>674</v>
      </c>
      <c r="C668" s="5" t="s">
        <v>24</v>
      </c>
      <c r="D668" s="30">
        <v>1.0</v>
      </c>
      <c r="E668" s="5" t="s">
        <v>28</v>
      </c>
      <c r="F668" s="5" t="s">
        <v>14</v>
      </c>
      <c r="G668" s="5" t="s">
        <v>675</v>
      </c>
      <c r="H668" s="5" t="s">
        <v>547</v>
      </c>
      <c r="I668" s="5" t="s">
        <v>17</v>
      </c>
      <c r="J668" s="5">
        <v>8.1910123799E10</v>
      </c>
      <c r="K668" s="7" t="s">
        <v>14</v>
      </c>
      <c r="L668" s="8" t="s">
        <v>83</v>
      </c>
    </row>
    <row r="669">
      <c r="A669" s="19"/>
      <c r="B669" s="9"/>
      <c r="C669" s="9"/>
      <c r="D669" s="31"/>
      <c r="E669" s="9"/>
      <c r="F669" s="9"/>
      <c r="G669" s="9"/>
      <c r="H669" s="9"/>
      <c r="I669" s="9"/>
      <c r="J669" s="9"/>
      <c r="K669" s="7" t="s">
        <v>19</v>
      </c>
      <c r="L669" s="7" t="s">
        <v>32</v>
      </c>
    </row>
    <row r="670">
      <c r="A670" s="20"/>
      <c r="B670" s="10"/>
      <c r="C670" s="10"/>
      <c r="D670" s="32"/>
      <c r="E670" s="10"/>
      <c r="F670" s="10"/>
      <c r="G670" s="10"/>
      <c r="H670" s="10"/>
      <c r="I670" s="9"/>
      <c r="J670" s="9"/>
      <c r="K670" s="7" t="s">
        <v>21</v>
      </c>
      <c r="L670" s="7" t="s">
        <v>32</v>
      </c>
    </row>
    <row r="671">
      <c r="A671" s="18">
        <v>224.0</v>
      </c>
      <c r="B671" s="27"/>
      <c r="C671" s="5" t="s">
        <v>24</v>
      </c>
      <c r="D671" s="51"/>
      <c r="E671" s="11"/>
      <c r="F671" s="5" t="s">
        <v>14</v>
      </c>
      <c r="G671" s="11"/>
      <c r="H671" s="11"/>
      <c r="I671" s="11"/>
      <c r="J671" s="11"/>
      <c r="K671" s="7" t="s">
        <v>14</v>
      </c>
      <c r="L671" s="12"/>
    </row>
    <row r="672">
      <c r="A672" s="19"/>
      <c r="B672" s="9"/>
      <c r="C672" s="9"/>
      <c r="D672" s="31"/>
      <c r="E672" s="9"/>
      <c r="F672" s="9"/>
      <c r="G672" s="9"/>
      <c r="H672" s="9"/>
      <c r="I672" s="9"/>
      <c r="J672" s="9"/>
      <c r="K672" s="7" t="s">
        <v>19</v>
      </c>
      <c r="L672" s="12"/>
    </row>
    <row r="673">
      <c r="A673" s="20"/>
      <c r="B673" s="10"/>
      <c r="C673" s="10"/>
      <c r="D673" s="32"/>
      <c r="E673" s="10"/>
      <c r="F673" s="10"/>
      <c r="G673" s="10"/>
      <c r="H673" s="10"/>
      <c r="I673" s="9"/>
      <c r="J673" s="9"/>
      <c r="K673" s="7" t="s">
        <v>21</v>
      </c>
      <c r="L673" s="12"/>
    </row>
    <row r="674">
      <c r="A674" s="18">
        <v>225.0</v>
      </c>
      <c r="B674" s="27"/>
      <c r="C674" s="5" t="s">
        <v>24</v>
      </c>
      <c r="D674" s="51"/>
      <c r="E674" s="11"/>
      <c r="F674" s="5" t="s">
        <v>14</v>
      </c>
      <c r="G674" s="11"/>
      <c r="H674" s="11"/>
      <c r="I674" s="11"/>
      <c r="J674" s="11"/>
      <c r="K674" s="7" t="s">
        <v>14</v>
      </c>
      <c r="L674" s="12"/>
    </row>
    <row r="675">
      <c r="A675" s="19"/>
      <c r="B675" s="9"/>
      <c r="C675" s="9"/>
      <c r="D675" s="31"/>
      <c r="E675" s="9"/>
      <c r="F675" s="9"/>
      <c r="G675" s="9"/>
      <c r="H675" s="9"/>
      <c r="I675" s="9"/>
      <c r="J675" s="9"/>
      <c r="K675" s="7" t="s">
        <v>19</v>
      </c>
      <c r="L675" s="12"/>
    </row>
    <row r="676">
      <c r="A676" s="20"/>
      <c r="B676" s="10"/>
      <c r="C676" s="10"/>
      <c r="D676" s="32"/>
      <c r="E676" s="10"/>
      <c r="F676" s="10"/>
      <c r="G676" s="10"/>
      <c r="H676" s="10"/>
      <c r="I676" s="9"/>
      <c r="J676" s="9"/>
      <c r="K676" s="7" t="s">
        <v>21</v>
      </c>
      <c r="L676" s="12"/>
    </row>
    <row r="677">
      <c r="A677" s="18">
        <v>226.0</v>
      </c>
      <c r="B677" s="27"/>
      <c r="C677" s="5" t="s">
        <v>24</v>
      </c>
      <c r="D677" s="51"/>
      <c r="E677" s="11"/>
      <c r="F677" s="5" t="s">
        <v>14</v>
      </c>
      <c r="G677" s="11"/>
      <c r="H677" s="11"/>
      <c r="I677" s="11"/>
      <c r="J677" s="11"/>
      <c r="K677" s="7" t="s">
        <v>14</v>
      </c>
      <c r="L677" s="12"/>
    </row>
    <row r="678">
      <c r="A678" s="19"/>
      <c r="B678" s="9"/>
      <c r="C678" s="9"/>
      <c r="D678" s="31"/>
      <c r="E678" s="9"/>
      <c r="F678" s="9"/>
      <c r="G678" s="9"/>
      <c r="H678" s="9"/>
      <c r="I678" s="9"/>
      <c r="J678" s="9"/>
      <c r="K678" s="7" t="s">
        <v>19</v>
      </c>
      <c r="L678" s="12"/>
    </row>
    <row r="679">
      <c r="A679" s="20"/>
      <c r="B679" s="10"/>
      <c r="C679" s="10"/>
      <c r="D679" s="32"/>
      <c r="E679" s="10"/>
      <c r="F679" s="10"/>
      <c r="G679" s="10"/>
      <c r="H679" s="10"/>
      <c r="I679" s="9"/>
      <c r="J679" s="9"/>
      <c r="K679" s="7" t="s">
        <v>21</v>
      </c>
      <c r="L679" s="12"/>
    </row>
    <row r="680">
      <c r="A680" s="18">
        <v>227.0</v>
      </c>
      <c r="B680" s="27"/>
      <c r="C680" s="5" t="s">
        <v>24</v>
      </c>
      <c r="D680" s="51"/>
      <c r="E680" s="11"/>
      <c r="F680" s="5" t="s">
        <v>14</v>
      </c>
      <c r="G680" s="11"/>
      <c r="H680" s="11"/>
      <c r="I680" s="11"/>
      <c r="J680" s="11"/>
      <c r="K680" s="7" t="s">
        <v>14</v>
      </c>
      <c r="L680" s="12"/>
    </row>
    <row r="681">
      <c r="A681" s="19"/>
      <c r="B681" s="9"/>
      <c r="C681" s="9"/>
      <c r="D681" s="31"/>
      <c r="E681" s="9"/>
      <c r="F681" s="9"/>
      <c r="G681" s="9"/>
      <c r="H681" s="9"/>
      <c r="I681" s="9"/>
      <c r="J681" s="9"/>
      <c r="K681" s="7" t="s">
        <v>19</v>
      </c>
      <c r="L681" s="12"/>
    </row>
    <row r="682">
      <c r="A682" s="20"/>
      <c r="B682" s="10"/>
      <c r="C682" s="10"/>
      <c r="D682" s="32"/>
      <c r="E682" s="10"/>
      <c r="F682" s="10"/>
      <c r="G682" s="10"/>
      <c r="H682" s="10"/>
      <c r="I682" s="9"/>
      <c r="J682" s="9"/>
      <c r="K682" s="7" t="s">
        <v>21</v>
      </c>
      <c r="L682" s="12"/>
    </row>
    <row r="683">
      <c r="A683" s="18">
        <v>228.0</v>
      </c>
      <c r="B683" s="27"/>
      <c r="C683" s="5" t="s">
        <v>24</v>
      </c>
      <c r="D683" s="51"/>
      <c r="E683" s="11"/>
      <c r="F683" s="5" t="s">
        <v>14</v>
      </c>
      <c r="G683" s="11"/>
      <c r="H683" s="11"/>
      <c r="I683" s="11"/>
      <c r="J683" s="11"/>
      <c r="K683" s="7" t="s">
        <v>14</v>
      </c>
      <c r="L683" s="12"/>
    </row>
    <row r="684">
      <c r="A684" s="19"/>
      <c r="B684" s="9"/>
      <c r="C684" s="9"/>
      <c r="D684" s="31"/>
      <c r="E684" s="9"/>
      <c r="F684" s="9"/>
      <c r="G684" s="9"/>
      <c r="H684" s="9"/>
      <c r="I684" s="9"/>
      <c r="J684" s="9"/>
      <c r="K684" s="7" t="s">
        <v>19</v>
      </c>
      <c r="L684" s="12"/>
    </row>
    <row r="685">
      <c r="A685" s="20"/>
      <c r="B685" s="10"/>
      <c r="C685" s="10"/>
      <c r="D685" s="32"/>
      <c r="E685" s="10"/>
      <c r="F685" s="10"/>
      <c r="G685" s="10"/>
      <c r="H685" s="10"/>
      <c r="I685" s="9"/>
      <c r="J685" s="9"/>
      <c r="K685" s="7" t="s">
        <v>21</v>
      </c>
      <c r="L685" s="12"/>
    </row>
    <row r="686">
      <c r="A686" s="18">
        <v>229.0</v>
      </c>
      <c r="B686" s="27"/>
      <c r="C686" s="5" t="s">
        <v>24</v>
      </c>
      <c r="D686" s="51"/>
      <c r="E686" s="11"/>
      <c r="F686" s="5" t="s">
        <v>14</v>
      </c>
      <c r="G686" s="11"/>
      <c r="H686" s="11"/>
      <c r="I686" s="11"/>
      <c r="J686" s="11"/>
      <c r="K686" s="7" t="s">
        <v>14</v>
      </c>
      <c r="L686" s="12"/>
    </row>
    <row r="687">
      <c r="A687" s="19"/>
      <c r="B687" s="9"/>
      <c r="C687" s="9"/>
      <c r="D687" s="31"/>
      <c r="E687" s="9"/>
      <c r="F687" s="9"/>
      <c r="G687" s="9"/>
      <c r="H687" s="9"/>
      <c r="I687" s="9"/>
      <c r="J687" s="9"/>
      <c r="K687" s="7" t="s">
        <v>19</v>
      </c>
      <c r="L687" s="12"/>
    </row>
    <row r="688">
      <c r="A688" s="20"/>
      <c r="B688" s="10"/>
      <c r="C688" s="10"/>
      <c r="D688" s="32"/>
      <c r="E688" s="10"/>
      <c r="F688" s="10"/>
      <c r="G688" s="10"/>
      <c r="H688" s="10"/>
      <c r="I688" s="9"/>
      <c r="J688" s="9"/>
      <c r="K688" s="7" t="s">
        <v>21</v>
      </c>
      <c r="L688" s="12"/>
    </row>
    <row r="689">
      <c r="A689" s="18">
        <v>230.0</v>
      </c>
      <c r="B689" s="27"/>
      <c r="C689" s="5" t="s">
        <v>24</v>
      </c>
      <c r="D689" s="51"/>
      <c r="E689" s="11"/>
      <c r="F689" s="5" t="s">
        <v>14</v>
      </c>
      <c r="G689" s="11"/>
      <c r="H689" s="11"/>
      <c r="I689" s="11"/>
      <c r="J689" s="11"/>
      <c r="K689" s="7" t="s">
        <v>14</v>
      </c>
      <c r="L689" s="12"/>
    </row>
    <row r="690">
      <c r="A690" s="19"/>
      <c r="B690" s="9"/>
      <c r="C690" s="9"/>
      <c r="D690" s="31"/>
      <c r="E690" s="9"/>
      <c r="F690" s="9"/>
      <c r="G690" s="9"/>
      <c r="H690" s="9"/>
      <c r="I690" s="9"/>
      <c r="J690" s="9"/>
      <c r="K690" s="7" t="s">
        <v>19</v>
      </c>
      <c r="L690" s="12"/>
    </row>
    <row r="691">
      <c r="A691" s="20"/>
      <c r="B691" s="10"/>
      <c r="C691" s="10"/>
      <c r="D691" s="32"/>
      <c r="E691" s="10"/>
      <c r="F691" s="10"/>
      <c r="G691" s="10"/>
      <c r="H691" s="10"/>
      <c r="I691" s="9"/>
      <c r="J691" s="9"/>
      <c r="K691" s="7" t="s">
        <v>21</v>
      </c>
      <c r="L691" s="12"/>
    </row>
    <row r="692">
      <c r="A692" s="18">
        <v>231.0</v>
      </c>
      <c r="B692" s="27"/>
      <c r="C692" s="5" t="s">
        <v>24</v>
      </c>
      <c r="D692" s="51"/>
      <c r="E692" s="11"/>
      <c r="F692" s="5" t="s">
        <v>14</v>
      </c>
      <c r="G692" s="11"/>
      <c r="H692" s="11"/>
      <c r="I692" s="11"/>
      <c r="J692" s="11"/>
      <c r="K692" s="7" t="s">
        <v>14</v>
      </c>
      <c r="L692" s="12"/>
    </row>
    <row r="693">
      <c r="A693" s="19"/>
      <c r="B693" s="9"/>
      <c r="C693" s="9"/>
      <c r="D693" s="31"/>
      <c r="E693" s="9"/>
      <c r="F693" s="9"/>
      <c r="G693" s="9"/>
      <c r="H693" s="9"/>
      <c r="I693" s="9"/>
      <c r="J693" s="9"/>
      <c r="K693" s="7" t="s">
        <v>19</v>
      </c>
      <c r="L693" s="12"/>
    </row>
    <row r="694">
      <c r="A694" s="20"/>
      <c r="B694" s="10"/>
      <c r="C694" s="10"/>
      <c r="D694" s="32"/>
      <c r="E694" s="10"/>
      <c r="F694" s="10"/>
      <c r="G694" s="10"/>
      <c r="H694" s="10"/>
      <c r="I694" s="9"/>
      <c r="J694" s="9"/>
      <c r="K694" s="7" t="s">
        <v>21</v>
      </c>
      <c r="L694" s="12"/>
    </row>
    <row r="695">
      <c r="A695" s="18">
        <v>232.0</v>
      </c>
      <c r="B695" s="27"/>
      <c r="C695" s="5" t="s">
        <v>24</v>
      </c>
      <c r="D695" s="51"/>
      <c r="E695" s="11"/>
      <c r="F695" s="5" t="s">
        <v>14</v>
      </c>
      <c r="G695" s="11"/>
      <c r="H695" s="11"/>
      <c r="I695" s="11"/>
      <c r="J695" s="11"/>
      <c r="K695" s="7" t="s">
        <v>14</v>
      </c>
      <c r="L695" s="12"/>
    </row>
    <row r="696">
      <c r="A696" s="19"/>
      <c r="B696" s="9"/>
      <c r="C696" s="9"/>
      <c r="D696" s="31"/>
      <c r="E696" s="9"/>
      <c r="F696" s="9"/>
      <c r="G696" s="9"/>
      <c r="H696" s="9"/>
      <c r="I696" s="9"/>
      <c r="J696" s="9"/>
      <c r="K696" s="7" t="s">
        <v>19</v>
      </c>
      <c r="L696" s="12"/>
    </row>
    <row r="697">
      <c r="A697" s="20"/>
      <c r="B697" s="10"/>
      <c r="C697" s="10"/>
      <c r="D697" s="32"/>
      <c r="E697" s="10"/>
      <c r="F697" s="10"/>
      <c r="G697" s="10"/>
      <c r="H697" s="10"/>
      <c r="I697" s="9"/>
      <c r="J697" s="9"/>
      <c r="K697" s="7" t="s">
        <v>21</v>
      </c>
      <c r="L697" s="12"/>
    </row>
  </sheetData>
  <mergeCells count="2304">
    <mergeCell ref="G2:G4"/>
    <mergeCell ref="H2:H4"/>
    <mergeCell ref="I2:I4"/>
    <mergeCell ref="J2:J4"/>
    <mergeCell ref="K1:L1"/>
    <mergeCell ref="A2:A4"/>
    <mergeCell ref="B2:B4"/>
    <mergeCell ref="C2:C4"/>
    <mergeCell ref="D2:D4"/>
    <mergeCell ref="E2:E4"/>
    <mergeCell ref="F2:F4"/>
    <mergeCell ref="H5:H7"/>
    <mergeCell ref="I5:I7"/>
    <mergeCell ref="J5:J7"/>
    <mergeCell ref="A5:A7"/>
    <mergeCell ref="B5:B7"/>
    <mergeCell ref="C5:C7"/>
    <mergeCell ref="D5:D7"/>
    <mergeCell ref="E5:E7"/>
    <mergeCell ref="F5:F7"/>
    <mergeCell ref="G5:G7"/>
    <mergeCell ref="H8:H10"/>
    <mergeCell ref="I8:I10"/>
    <mergeCell ref="J8:J10"/>
    <mergeCell ref="A8:A10"/>
    <mergeCell ref="B8:B10"/>
    <mergeCell ref="C8:C10"/>
    <mergeCell ref="D8:D10"/>
    <mergeCell ref="E8:E10"/>
    <mergeCell ref="F8:F10"/>
    <mergeCell ref="G8:G10"/>
    <mergeCell ref="H20:H22"/>
    <mergeCell ref="I20:I22"/>
    <mergeCell ref="J20:J22"/>
    <mergeCell ref="A20:A22"/>
    <mergeCell ref="B20:B22"/>
    <mergeCell ref="C20:C22"/>
    <mergeCell ref="D20:D22"/>
    <mergeCell ref="E20:E22"/>
    <mergeCell ref="F20:F22"/>
    <mergeCell ref="G20:G22"/>
    <mergeCell ref="H23:H25"/>
    <mergeCell ref="I23:I25"/>
    <mergeCell ref="J23:J25"/>
    <mergeCell ref="A23:A25"/>
    <mergeCell ref="B23:B25"/>
    <mergeCell ref="C23:C25"/>
    <mergeCell ref="D23:D25"/>
    <mergeCell ref="E23:E25"/>
    <mergeCell ref="F23:F25"/>
    <mergeCell ref="G23:G25"/>
    <mergeCell ref="H26:H28"/>
    <mergeCell ref="I26:I28"/>
    <mergeCell ref="J26:J28"/>
    <mergeCell ref="A26:A28"/>
    <mergeCell ref="B26:B28"/>
    <mergeCell ref="C26:C28"/>
    <mergeCell ref="D26:D28"/>
    <mergeCell ref="E26:E28"/>
    <mergeCell ref="F26:F28"/>
    <mergeCell ref="G26:G28"/>
    <mergeCell ref="H29:H31"/>
    <mergeCell ref="I29:I31"/>
    <mergeCell ref="J29:J31"/>
    <mergeCell ref="A29:A31"/>
    <mergeCell ref="B29:B31"/>
    <mergeCell ref="C29:C31"/>
    <mergeCell ref="D29:D31"/>
    <mergeCell ref="E29:E31"/>
    <mergeCell ref="F29:F31"/>
    <mergeCell ref="G29:G31"/>
    <mergeCell ref="H32:H34"/>
    <mergeCell ref="I32:I34"/>
    <mergeCell ref="J32:J34"/>
    <mergeCell ref="A32:A34"/>
    <mergeCell ref="B32:B34"/>
    <mergeCell ref="C32:C34"/>
    <mergeCell ref="D32:D34"/>
    <mergeCell ref="E32:E34"/>
    <mergeCell ref="F32:F34"/>
    <mergeCell ref="G32:G34"/>
    <mergeCell ref="H35:H37"/>
    <mergeCell ref="I35:I37"/>
    <mergeCell ref="J35:J37"/>
    <mergeCell ref="A35:A37"/>
    <mergeCell ref="B35:B37"/>
    <mergeCell ref="C35:C37"/>
    <mergeCell ref="D35:D37"/>
    <mergeCell ref="E35:E37"/>
    <mergeCell ref="F35:F37"/>
    <mergeCell ref="G35:G37"/>
    <mergeCell ref="H38:H40"/>
    <mergeCell ref="I38:I40"/>
    <mergeCell ref="J38:J40"/>
    <mergeCell ref="A38:A40"/>
    <mergeCell ref="B38:B40"/>
    <mergeCell ref="C38:C40"/>
    <mergeCell ref="D38:D40"/>
    <mergeCell ref="E38:E40"/>
    <mergeCell ref="F38:F40"/>
    <mergeCell ref="G38:G40"/>
    <mergeCell ref="H41:H43"/>
    <mergeCell ref="I41:I43"/>
    <mergeCell ref="J41:J43"/>
    <mergeCell ref="A41:A43"/>
    <mergeCell ref="B41:B43"/>
    <mergeCell ref="C41:C43"/>
    <mergeCell ref="D41:D43"/>
    <mergeCell ref="E41:E43"/>
    <mergeCell ref="F41:F43"/>
    <mergeCell ref="G41:G43"/>
    <mergeCell ref="H44:H46"/>
    <mergeCell ref="I44:I46"/>
    <mergeCell ref="J44:J46"/>
    <mergeCell ref="A44:A46"/>
    <mergeCell ref="B44:B46"/>
    <mergeCell ref="C44:C46"/>
    <mergeCell ref="D44:D46"/>
    <mergeCell ref="E44:E46"/>
    <mergeCell ref="F44:F46"/>
    <mergeCell ref="G44:G46"/>
    <mergeCell ref="H47:H49"/>
    <mergeCell ref="I47:I49"/>
    <mergeCell ref="J47:J49"/>
    <mergeCell ref="A47:A49"/>
    <mergeCell ref="B47:B49"/>
    <mergeCell ref="C47:C49"/>
    <mergeCell ref="D47:D49"/>
    <mergeCell ref="E47:E49"/>
    <mergeCell ref="F47:F49"/>
    <mergeCell ref="G47:G49"/>
    <mergeCell ref="H50:H52"/>
    <mergeCell ref="I50:I52"/>
    <mergeCell ref="J50:J52"/>
    <mergeCell ref="A50:A52"/>
    <mergeCell ref="B50:B52"/>
    <mergeCell ref="C50:C52"/>
    <mergeCell ref="D50:D52"/>
    <mergeCell ref="E50:E52"/>
    <mergeCell ref="F50:F52"/>
    <mergeCell ref="G50:G52"/>
    <mergeCell ref="H53:H55"/>
    <mergeCell ref="I53:I55"/>
    <mergeCell ref="J53:J55"/>
    <mergeCell ref="A53:A55"/>
    <mergeCell ref="B53:B55"/>
    <mergeCell ref="C53:C55"/>
    <mergeCell ref="D53:D55"/>
    <mergeCell ref="E53:E55"/>
    <mergeCell ref="F53:F55"/>
    <mergeCell ref="G53:G55"/>
    <mergeCell ref="H56:H58"/>
    <mergeCell ref="I56:I58"/>
    <mergeCell ref="J56:J58"/>
    <mergeCell ref="A56:A58"/>
    <mergeCell ref="B56:B58"/>
    <mergeCell ref="C56:C58"/>
    <mergeCell ref="D56:D58"/>
    <mergeCell ref="E56:E58"/>
    <mergeCell ref="F56:F58"/>
    <mergeCell ref="G56:G58"/>
    <mergeCell ref="H59:H61"/>
    <mergeCell ref="I59:I61"/>
    <mergeCell ref="J59:J61"/>
    <mergeCell ref="A59:A61"/>
    <mergeCell ref="B59:B61"/>
    <mergeCell ref="C59:C61"/>
    <mergeCell ref="D59:D61"/>
    <mergeCell ref="E59:E61"/>
    <mergeCell ref="F59:F61"/>
    <mergeCell ref="G59:G61"/>
    <mergeCell ref="H62:H64"/>
    <mergeCell ref="I62:I64"/>
    <mergeCell ref="J62:J64"/>
    <mergeCell ref="A62:A64"/>
    <mergeCell ref="B62:B64"/>
    <mergeCell ref="C62:C64"/>
    <mergeCell ref="D62:D64"/>
    <mergeCell ref="E62:E64"/>
    <mergeCell ref="F62:F64"/>
    <mergeCell ref="G62:G64"/>
    <mergeCell ref="H65:H67"/>
    <mergeCell ref="I65:I67"/>
    <mergeCell ref="J65:J67"/>
    <mergeCell ref="A65:A67"/>
    <mergeCell ref="B65:B67"/>
    <mergeCell ref="C65:C67"/>
    <mergeCell ref="D65:D67"/>
    <mergeCell ref="E65:E67"/>
    <mergeCell ref="F65:F67"/>
    <mergeCell ref="G65:G67"/>
    <mergeCell ref="H68:H70"/>
    <mergeCell ref="I68:I70"/>
    <mergeCell ref="J68:J70"/>
    <mergeCell ref="A68:A70"/>
    <mergeCell ref="B68:B70"/>
    <mergeCell ref="C68:C70"/>
    <mergeCell ref="D68:D70"/>
    <mergeCell ref="E68:E70"/>
    <mergeCell ref="F68:F70"/>
    <mergeCell ref="G68:G70"/>
    <mergeCell ref="H71:H73"/>
    <mergeCell ref="I71:I73"/>
    <mergeCell ref="J71:J73"/>
    <mergeCell ref="A71:A73"/>
    <mergeCell ref="B71:B73"/>
    <mergeCell ref="C71:C73"/>
    <mergeCell ref="D71:D73"/>
    <mergeCell ref="E71:E73"/>
    <mergeCell ref="F71:F73"/>
    <mergeCell ref="G71:G73"/>
    <mergeCell ref="H74:H76"/>
    <mergeCell ref="I74:I76"/>
    <mergeCell ref="J74:J76"/>
    <mergeCell ref="A74:A76"/>
    <mergeCell ref="B74:B76"/>
    <mergeCell ref="C74:C76"/>
    <mergeCell ref="D74:D76"/>
    <mergeCell ref="E74:E76"/>
    <mergeCell ref="F74:F76"/>
    <mergeCell ref="G74:G76"/>
    <mergeCell ref="H77:H79"/>
    <mergeCell ref="I77:I79"/>
    <mergeCell ref="J77:J79"/>
    <mergeCell ref="A77:A79"/>
    <mergeCell ref="B77:B79"/>
    <mergeCell ref="C77:C79"/>
    <mergeCell ref="D77:D79"/>
    <mergeCell ref="E77:E79"/>
    <mergeCell ref="F77:F79"/>
    <mergeCell ref="G77:G79"/>
    <mergeCell ref="H80:H82"/>
    <mergeCell ref="I80:I82"/>
    <mergeCell ref="J80:J82"/>
    <mergeCell ref="A80:A82"/>
    <mergeCell ref="B80:B82"/>
    <mergeCell ref="C80:C82"/>
    <mergeCell ref="D80:D82"/>
    <mergeCell ref="E80:E82"/>
    <mergeCell ref="F80:F82"/>
    <mergeCell ref="G80:G82"/>
    <mergeCell ref="H83:H85"/>
    <mergeCell ref="I83:I85"/>
    <mergeCell ref="J83:J85"/>
    <mergeCell ref="A83:A85"/>
    <mergeCell ref="B83:B85"/>
    <mergeCell ref="C83:C85"/>
    <mergeCell ref="D83:D85"/>
    <mergeCell ref="E83:E85"/>
    <mergeCell ref="F83:F85"/>
    <mergeCell ref="G83:G85"/>
    <mergeCell ref="H86:H88"/>
    <mergeCell ref="I86:I88"/>
    <mergeCell ref="J86:J88"/>
    <mergeCell ref="A86:A88"/>
    <mergeCell ref="B86:B88"/>
    <mergeCell ref="C86:C88"/>
    <mergeCell ref="D86:D88"/>
    <mergeCell ref="E86:E88"/>
    <mergeCell ref="F86:F88"/>
    <mergeCell ref="G86:G88"/>
    <mergeCell ref="H89:H91"/>
    <mergeCell ref="I89:I91"/>
    <mergeCell ref="J89:J91"/>
    <mergeCell ref="A89:A91"/>
    <mergeCell ref="B89:B91"/>
    <mergeCell ref="C89:C91"/>
    <mergeCell ref="D89:D91"/>
    <mergeCell ref="E89:E91"/>
    <mergeCell ref="F89:F91"/>
    <mergeCell ref="G89:G91"/>
    <mergeCell ref="H92:H94"/>
    <mergeCell ref="I92:I94"/>
    <mergeCell ref="J92:J94"/>
    <mergeCell ref="A92:A94"/>
    <mergeCell ref="B92:B94"/>
    <mergeCell ref="C92:C94"/>
    <mergeCell ref="D92:D94"/>
    <mergeCell ref="E92:E94"/>
    <mergeCell ref="F92:F94"/>
    <mergeCell ref="G92:G94"/>
    <mergeCell ref="H95:H97"/>
    <mergeCell ref="I95:I97"/>
    <mergeCell ref="J95:J97"/>
    <mergeCell ref="A95:A97"/>
    <mergeCell ref="B95:B97"/>
    <mergeCell ref="C95:C97"/>
    <mergeCell ref="D95:D97"/>
    <mergeCell ref="E95:E97"/>
    <mergeCell ref="F95:F97"/>
    <mergeCell ref="G95:G97"/>
    <mergeCell ref="H98:H100"/>
    <mergeCell ref="I98:I100"/>
    <mergeCell ref="J98:J100"/>
    <mergeCell ref="A98:A100"/>
    <mergeCell ref="B98:B100"/>
    <mergeCell ref="C98:C100"/>
    <mergeCell ref="D98:D100"/>
    <mergeCell ref="E98:E100"/>
    <mergeCell ref="F98:F100"/>
    <mergeCell ref="G98:G100"/>
    <mergeCell ref="H101:H103"/>
    <mergeCell ref="I101:I103"/>
    <mergeCell ref="J101:J103"/>
    <mergeCell ref="A101:A103"/>
    <mergeCell ref="B101:B103"/>
    <mergeCell ref="C101:C103"/>
    <mergeCell ref="D101:D103"/>
    <mergeCell ref="E101:E103"/>
    <mergeCell ref="F101:F103"/>
    <mergeCell ref="G101:G103"/>
    <mergeCell ref="H104:H106"/>
    <mergeCell ref="I104:I106"/>
    <mergeCell ref="J104:J106"/>
    <mergeCell ref="A104:A106"/>
    <mergeCell ref="B104:B106"/>
    <mergeCell ref="C104:C106"/>
    <mergeCell ref="D104:D106"/>
    <mergeCell ref="E104:E106"/>
    <mergeCell ref="F104:F106"/>
    <mergeCell ref="G104:G106"/>
    <mergeCell ref="H107:H109"/>
    <mergeCell ref="I107:I109"/>
    <mergeCell ref="J107:J109"/>
    <mergeCell ref="A107:A109"/>
    <mergeCell ref="B107:B109"/>
    <mergeCell ref="C107:C109"/>
    <mergeCell ref="D107:D109"/>
    <mergeCell ref="E107:E109"/>
    <mergeCell ref="F107:F109"/>
    <mergeCell ref="G107:G109"/>
    <mergeCell ref="H110:H112"/>
    <mergeCell ref="I110:I112"/>
    <mergeCell ref="J110:J112"/>
    <mergeCell ref="A110:A112"/>
    <mergeCell ref="B110:B112"/>
    <mergeCell ref="C110:C112"/>
    <mergeCell ref="D110:D112"/>
    <mergeCell ref="E110:E112"/>
    <mergeCell ref="F110:F112"/>
    <mergeCell ref="G110:G112"/>
    <mergeCell ref="H113:H115"/>
    <mergeCell ref="I113:I115"/>
    <mergeCell ref="J113:J115"/>
    <mergeCell ref="A113:A115"/>
    <mergeCell ref="B113:B115"/>
    <mergeCell ref="C113:C115"/>
    <mergeCell ref="D113:D115"/>
    <mergeCell ref="E113:E115"/>
    <mergeCell ref="F113:F115"/>
    <mergeCell ref="G113:G115"/>
    <mergeCell ref="H116:H118"/>
    <mergeCell ref="I116:I118"/>
    <mergeCell ref="J116:J118"/>
    <mergeCell ref="A116:A118"/>
    <mergeCell ref="B116:B118"/>
    <mergeCell ref="C116:C118"/>
    <mergeCell ref="D116:D118"/>
    <mergeCell ref="E116:E118"/>
    <mergeCell ref="F116:F118"/>
    <mergeCell ref="G116:G118"/>
    <mergeCell ref="H119:H121"/>
    <mergeCell ref="I119:I121"/>
    <mergeCell ref="J119:J121"/>
    <mergeCell ref="A119:A121"/>
    <mergeCell ref="B119:B121"/>
    <mergeCell ref="C119:C121"/>
    <mergeCell ref="D119:D121"/>
    <mergeCell ref="E119:E121"/>
    <mergeCell ref="F119:F121"/>
    <mergeCell ref="G119:G121"/>
    <mergeCell ref="H122:H124"/>
    <mergeCell ref="I122:I124"/>
    <mergeCell ref="J122:J124"/>
    <mergeCell ref="A122:A124"/>
    <mergeCell ref="B122:B124"/>
    <mergeCell ref="C122:C124"/>
    <mergeCell ref="D122:D124"/>
    <mergeCell ref="E122:E124"/>
    <mergeCell ref="F122:F124"/>
    <mergeCell ref="G122:G124"/>
    <mergeCell ref="H125:H127"/>
    <mergeCell ref="I125:I127"/>
    <mergeCell ref="J125:J127"/>
    <mergeCell ref="A125:A127"/>
    <mergeCell ref="B125:B127"/>
    <mergeCell ref="C125:C127"/>
    <mergeCell ref="D125:D127"/>
    <mergeCell ref="E125:E127"/>
    <mergeCell ref="F125:F127"/>
    <mergeCell ref="G125:G127"/>
    <mergeCell ref="H128:H130"/>
    <mergeCell ref="I128:I130"/>
    <mergeCell ref="J128:J130"/>
    <mergeCell ref="A128:A130"/>
    <mergeCell ref="B128:B130"/>
    <mergeCell ref="C128:C130"/>
    <mergeCell ref="D128:D130"/>
    <mergeCell ref="E128:E130"/>
    <mergeCell ref="F128:F130"/>
    <mergeCell ref="G128:G130"/>
    <mergeCell ref="H131:H133"/>
    <mergeCell ref="I131:I133"/>
    <mergeCell ref="J131:J133"/>
    <mergeCell ref="A131:A133"/>
    <mergeCell ref="B131:B133"/>
    <mergeCell ref="C131:C133"/>
    <mergeCell ref="D131:D133"/>
    <mergeCell ref="E131:E133"/>
    <mergeCell ref="F131:F133"/>
    <mergeCell ref="G131:G133"/>
    <mergeCell ref="H134:H136"/>
    <mergeCell ref="I134:I136"/>
    <mergeCell ref="J134:J136"/>
    <mergeCell ref="A134:A136"/>
    <mergeCell ref="B134:B136"/>
    <mergeCell ref="C134:C136"/>
    <mergeCell ref="D134:D136"/>
    <mergeCell ref="E134:E136"/>
    <mergeCell ref="F134:F136"/>
    <mergeCell ref="G134:G136"/>
    <mergeCell ref="H137:H139"/>
    <mergeCell ref="I137:I139"/>
    <mergeCell ref="J137:J139"/>
    <mergeCell ref="A137:A139"/>
    <mergeCell ref="B137:B139"/>
    <mergeCell ref="C137:C139"/>
    <mergeCell ref="D137:D139"/>
    <mergeCell ref="E137:E139"/>
    <mergeCell ref="F137:F139"/>
    <mergeCell ref="G137:G139"/>
    <mergeCell ref="H140:H142"/>
    <mergeCell ref="I140:I142"/>
    <mergeCell ref="J140:J142"/>
    <mergeCell ref="A140:A142"/>
    <mergeCell ref="B140:B142"/>
    <mergeCell ref="C140:C142"/>
    <mergeCell ref="D140:D142"/>
    <mergeCell ref="E140:E142"/>
    <mergeCell ref="F140:F142"/>
    <mergeCell ref="G140:G142"/>
    <mergeCell ref="H143:H145"/>
    <mergeCell ref="I143:I145"/>
    <mergeCell ref="J143:J145"/>
    <mergeCell ref="A143:A145"/>
    <mergeCell ref="B143:B145"/>
    <mergeCell ref="C143:C145"/>
    <mergeCell ref="D143:D145"/>
    <mergeCell ref="E143:E145"/>
    <mergeCell ref="F143:F145"/>
    <mergeCell ref="G143:G145"/>
    <mergeCell ref="H146:H148"/>
    <mergeCell ref="I146:I148"/>
    <mergeCell ref="J146:J148"/>
    <mergeCell ref="A146:A148"/>
    <mergeCell ref="B146:B148"/>
    <mergeCell ref="C146:C148"/>
    <mergeCell ref="D146:D148"/>
    <mergeCell ref="E146:E148"/>
    <mergeCell ref="F146:F148"/>
    <mergeCell ref="G146:G148"/>
    <mergeCell ref="H149:H151"/>
    <mergeCell ref="I149:I151"/>
    <mergeCell ref="J149:J151"/>
    <mergeCell ref="A149:A151"/>
    <mergeCell ref="B149:B151"/>
    <mergeCell ref="C149:C151"/>
    <mergeCell ref="D149:D151"/>
    <mergeCell ref="E149:E151"/>
    <mergeCell ref="F149:F151"/>
    <mergeCell ref="G149:G151"/>
    <mergeCell ref="H152:H154"/>
    <mergeCell ref="I152:I154"/>
    <mergeCell ref="J152:J154"/>
    <mergeCell ref="A152:A154"/>
    <mergeCell ref="B152:B154"/>
    <mergeCell ref="C152:C154"/>
    <mergeCell ref="D152:D154"/>
    <mergeCell ref="E152:E154"/>
    <mergeCell ref="F152:F154"/>
    <mergeCell ref="G152:G154"/>
    <mergeCell ref="H155:H157"/>
    <mergeCell ref="I155:I157"/>
    <mergeCell ref="J155:J157"/>
    <mergeCell ref="A155:A157"/>
    <mergeCell ref="B155:B157"/>
    <mergeCell ref="C155:C157"/>
    <mergeCell ref="D155:D157"/>
    <mergeCell ref="E155:E157"/>
    <mergeCell ref="F155:F157"/>
    <mergeCell ref="G155:G157"/>
    <mergeCell ref="H158:H160"/>
    <mergeCell ref="I158:I160"/>
    <mergeCell ref="J158:J160"/>
    <mergeCell ref="A158:A160"/>
    <mergeCell ref="B158:B160"/>
    <mergeCell ref="C158:C160"/>
    <mergeCell ref="D158:D160"/>
    <mergeCell ref="E158:E160"/>
    <mergeCell ref="F158:F160"/>
    <mergeCell ref="G158:G160"/>
    <mergeCell ref="H161:H163"/>
    <mergeCell ref="I161:I163"/>
    <mergeCell ref="J161:J163"/>
    <mergeCell ref="A161:A163"/>
    <mergeCell ref="B161:B163"/>
    <mergeCell ref="C161:C163"/>
    <mergeCell ref="D161:D163"/>
    <mergeCell ref="E161:E163"/>
    <mergeCell ref="F161:F163"/>
    <mergeCell ref="G161:G163"/>
    <mergeCell ref="H164:H166"/>
    <mergeCell ref="I164:I166"/>
    <mergeCell ref="J164:J166"/>
    <mergeCell ref="A164:A166"/>
    <mergeCell ref="B164:B166"/>
    <mergeCell ref="C164:C166"/>
    <mergeCell ref="D164:D166"/>
    <mergeCell ref="E164:E166"/>
    <mergeCell ref="F164:F166"/>
    <mergeCell ref="G164:G166"/>
    <mergeCell ref="H167:H169"/>
    <mergeCell ref="I167:I169"/>
    <mergeCell ref="J167:J169"/>
    <mergeCell ref="A167:A169"/>
    <mergeCell ref="B167:B169"/>
    <mergeCell ref="C167:C169"/>
    <mergeCell ref="D167:D169"/>
    <mergeCell ref="E167:E169"/>
    <mergeCell ref="F167:F169"/>
    <mergeCell ref="G167:G169"/>
    <mergeCell ref="H170:H172"/>
    <mergeCell ref="I170:I172"/>
    <mergeCell ref="J170:J172"/>
    <mergeCell ref="A170:A172"/>
    <mergeCell ref="B170:B172"/>
    <mergeCell ref="C170:C172"/>
    <mergeCell ref="D170:D172"/>
    <mergeCell ref="E170:E172"/>
    <mergeCell ref="F170:F172"/>
    <mergeCell ref="G170:G172"/>
    <mergeCell ref="H173:H175"/>
    <mergeCell ref="I173:I175"/>
    <mergeCell ref="J173:J175"/>
    <mergeCell ref="A173:A175"/>
    <mergeCell ref="B173:B175"/>
    <mergeCell ref="C173:C175"/>
    <mergeCell ref="D173:D175"/>
    <mergeCell ref="E173:E175"/>
    <mergeCell ref="F173:F175"/>
    <mergeCell ref="G173:G175"/>
    <mergeCell ref="H176:H178"/>
    <mergeCell ref="I176:I178"/>
    <mergeCell ref="J176:J178"/>
    <mergeCell ref="A176:A178"/>
    <mergeCell ref="B176:B178"/>
    <mergeCell ref="C176:C178"/>
    <mergeCell ref="D176:D178"/>
    <mergeCell ref="E176:E178"/>
    <mergeCell ref="F176:F178"/>
    <mergeCell ref="G176:G178"/>
    <mergeCell ref="H179:H181"/>
    <mergeCell ref="I179:I181"/>
    <mergeCell ref="J179:J181"/>
    <mergeCell ref="A179:A181"/>
    <mergeCell ref="B179:B181"/>
    <mergeCell ref="C179:C181"/>
    <mergeCell ref="D179:D181"/>
    <mergeCell ref="E179:E181"/>
    <mergeCell ref="F179:F181"/>
    <mergeCell ref="G179:G181"/>
    <mergeCell ref="H182:H184"/>
    <mergeCell ref="I182:I184"/>
    <mergeCell ref="J182:J184"/>
    <mergeCell ref="K197:K199"/>
    <mergeCell ref="L197:L199"/>
    <mergeCell ref="A182:A184"/>
    <mergeCell ref="B182:B184"/>
    <mergeCell ref="C182:C184"/>
    <mergeCell ref="D182:D184"/>
    <mergeCell ref="E182:E184"/>
    <mergeCell ref="F182:F184"/>
    <mergeCell ref="G182:G184"/>
    <mergeCell ref="H185:H187"/>
    <mergeCell ref="I185:I187"/>
    <mergeCell ref="J185:J187"/>
    <mergeCell ref="A185:A187"/>
    <mergeCell ref="B185:B187"/>
    <mergeCell ref="C185:C187"/>
    <mergeCell ref="D185:D187"/>
    <mergeCell ref="E185:E187"/>
    <mergeCell ref="F185:F187"/>
    <mergeCell ref="G185:G187"/>
    <mergeCell ref="H188:H190"/>
    <mergeCell ref="I188:I190"/>
    <mergeCell ref="J188:J190"/>
    <mergeCell ref="A188:A190"/>
    <mergeCell ref="B188:B190"/>
    <mergeCell ref="C188:C190"/>
    <mergeCell ref="D188:D190"/>
    <mergeCell ref="E188:E190"/>
    <mergeCell ref="F188:F190"/>
    <mergeCell ref="G188:G190"/>
    <mergeCell ref="H191:H193"/>
    <mergeCell ref="I191:I193"/>
    <mergeCell ref="J191:J193"/>
    <mergeCell ref="A191:A193"/>
    <mergeCell ref="B191:B193"/>
    <mergeCell ref="C191:C193"/>
    <mergeCell ref="D191:D193"/>
    <mergeCell ref="E191:E193"/>
    <mergeCell ref="F191:F193"/>
    <mergeCell ref="G191:G193"/>
    <mergeCell ref="H194:H196"/>
    <mergeCell ref="I194:I196"/>
    <mergeCell ref="J194:J196"/>
    <mergeCell ref="A194:A196"/>
    <mergeCell ref="B194:B196"/>
    <mergeCell ref="C194:C196"/>
    <mergeCell ref="D194:D196"/>
    <mergeCell ref="E194:E196"/>
    <mergeCell ref="F194:F196"/>
    <mergeCell ref="G194:G196"/>
    <mergeCell ref="H197:H199"/>
    <mergeCell ref="I197:I199"/>
    <mergeCell ref="J197:J199"/>
    <mergeCell ref="A197:A199"/>
    <mergeCell ref="B197:B199"/>
    <mergeCell ref="C197:C199"/>
    <mergeCell ref="D197:D199"/>
    <mergeCell ref="E197:E199"/>
    <mergeCell ref="F197:F199"/>
    <mergeCell ref="G197:G199"/>
    <mergeCell ref="H200:H202"/>
    <mergeCell ref="I200:I202"/>
    <mergeCell ref="J200:J202"/>
    <mergeCell ref="A200:A202"/>
    <mergeCell ref="B200:B202"/>
    <mergeCell ref="C200:C202"/>
    <mergeCell ref="D200:D202"/>
    <mergeCell ref="E200:E202"/>
    <mergeCell ref="F200:F202"/>
    <mergeCell ref="G200:G202"/>
    <mergeCell ref="H203:H205"/>
    <mergeCell ref="I203:I205"/>
    <mergeCell ref="J203:J205"/>
    <mergeCell ref="A203:A205"/>
    <mergeCell ref="B203:B205"/>
    <mergeCell ref="C203:C205"/>
    <mergeCell ref="D203:D205"/>
    <mergeCell ref="E203:E205"/>
    <mergeCell ref="F203:F205"/>
    <mergeCell ref="G203:G205"/>
    <mergeCell ref="H206:H208"/>
    <mergeCell ref="I206:I208"/>
    <mergeCell ref="J206:J208"/>
    <mergeCell ref="A206:A208"/>
    <mergeCell ref="B206:B208"/>
    <mergeCell ref="C206:C208"/>
    <mergeCell ref="D206:D208"/>
    <mergeCell ref="E206:E208"/>
    <mergeCell ref="F206:F208"/>
    <mergeCell ref="G206:G208"/>
    <mergeCell ref="H209:H211"/>
    <mergeCell ref="I209:I211"/>
    <mergeCell ref="J209:J211"/>
    <mergeCell ref="A209:A211"/>
    <mergeCell ref="B209:B211"/>
    <mergeCell ref="C209:C211"/>
    <mergeCell ref="D209:D211"/>
    <mergeCell ref="E209:E211"/>
    <mergeCell ref="F209:F211"/>
    <mergeCell ref="G209:G211"/>
    <mergeCell ref="H212:H214"/>
    <mergeCell ref="I212:I214"/>
    <mergeCell ref="J212:J214"/>
    <mergeCell ref="A212:A214"/>
    <mergeCell ref="B212:B214"/>
    <mergeCell ref="C212:C214"/>
    <mergeCell ref="D212:D214"/>
    <mergeCell ref="E212:E214"/>
    <mergeCell ref="F212:F214"/>
    <mergeCell ref="G212:G214"/>
    <mergeCell ref="H215:H217"/>
    <mergeCell ref="I215:I217"/>
    <mergeCell ref="J215:J217"/>
    <mergeCell ref="A215:A217"/>
    <mergeCell ref="B215:B217"/>
    <mergeCell ref="C215:C217"/>
    <mergeCell ref="D215:D217"/>
    <mergeCell ref="E215:E217"/>
    <mergeCell ref="F215:F217"/>
    <mergeCell ref="G215:G217"/>
    <mergeCell ref="H218:H220"/>
    <mergeCell ref="I218:I220"/>
    <mergeCell ref="J218:J220"/>
    <mergeCell ref="A218:A220"/>
    <mergeCell ref="B218:B220"/>
    <mergeCell ref="C218:C220"/>
    <mergeCell ref="D218:D220"/>
    <mergeCell ref="E218:E220"/>
    <mergeCell ref="F218:F220"/>
    <mergeCell ref="G218:G220"/>
    <mergeCell ref="H221:H223"/>
    <mergeCell ref="I221:I223"/>
    <mergeCell ref="J221:J223"/>
    <mergeCell ref="A221:A223"/>
    <mergeCell ref="B221:B223"/>
    <mergeCell ref="C221:C223"/>
    <mergeCell ref="D221:D223"/>
    <mergeCell ref="E221:E223"/>
    <mergeCell ref="F221:F223"/>
    <mergeCell ref="G221:G223"/>
    <mergeCell ref="H224:H226"/>
    <mergeCell ref="I224:I226"/>
    <mergeCell ref="J224:J226"/>
    <mergeCell ref="A224:A226"/>
    <mergeCell ref="B224:B226"/>
    <mergeCell ref="C224:C226"/>
    <mergeCell ref="D224:D226"/>
    <mergeCell ref="E224:E226"/>
    <mergeCell ref="F224:F226"/>
    <mergeCell ref="G224:G226"/>
    <mergeCell ref="H227:H229"/>
    <mergeCell ref="I227:I229"/>
    <mergeCell ref="J227:J229"/>
    <mergeCell ref="A227:A229"/>
    <mergeCell ref="B227:B229"/>
    <mergeCell ref="C227:C229"/>
    <mergeCell ref="D227:D229"/>
    <mergeCell ref="E227:E229"/>
    <mergeCell ref="F227:F229"/>
    <mergeCell ref="G227:G229"/>
    <mergeCell ref="H230:H232"/>
    <mergeCell ref="I230:I232"/>
    <mergeCell ref="J230:J232"/>
    <mergeCell ref="A230:A232"/>
    <mergeCell ref="B230:B232"/>
    <mergeCell ref="C230:C232"/>
    <mergeCell ref="D230:D232"/>
    <mergeCell ref="E230:E232"/>
    <mergeCell ref="F230:F232"/>
    <mergeCell ref="G230:G232"/>
    <mergeCell ref="H233:H235"/>
    <mergeCell ref="I233:I235"/>
    <mergeCell ref="J233:J235"/>
    <mergeCell ref="A233:A235"/>
    <mergeCell ref="B233:B235"/>
    <mergeCell ref="C233:C235"/>
    <mergeCell ref="D233:D235"/>
    <mergeCell ref="E233:E235"/>
    <mergeCell ref="F233:F235"/>
    <mergeCell ref="G233:G235"/>
    <mergeCell ref="H236:H238"/>
    <mergeCell ref="I236:I238"/>
    <mergeCell ref="J236:J238"/>
    <mergeCell ref="A236:A238"/>
    <mergeCell ref="B236:B238"/>
    <mergeCell ref="C236:C238"/>
    <mergeCell ref="D236:D238"/>
    <mergeCell ref="E236:E238"/>
    <mergeCell ref="F236:F238"/>
    <mergeCell ref="G236:G238"/>
    <mergeCell ref="H239:H241"/>
    <mergeCell ref="I239:I241"/>
    <mergeCell ref="J239:J241"/>
    <mergeCell ref="A239:A241"/>
    <mergeCell ref="B239:B241"/>
    <mergeCell ref="C239:C241"/>
    <mergeCell ref="D239:D241"/>
    <mergeCell ref="E239:E241"/>
    <mergeCell ref="F239:F241"/>
    <mergeCell ref="G239:G241"/>
    <mergeCell ref="H242:H244"/>
    <mergeCell ref="I242:I244"/>
    <mergeCell ref="J242:J244"/>
    <mergeCell ref="A242:A244"/>
    <mergeCell ref="B242:B244"/>
    <mergeCell ref="C242:C244"/>
    <mergeCell ref="D242:D244"/>
    <mergeCell ref="E242:E244"/>
    <mergeCell ref="F242:F244"/>
    <mergeCell ref="G242:G244"/>
    <mergeCell ref="H245:H247"/>
    <mergeCell ref="I245:I247"/>
    <mergeCell ref="J245:J247"/>
    <mergeCell ref="A245:A247"/>
    <mergeCell ref="B245:B247"/>
    <mergeCell ref="C245:C247"/>
    <mergeCell ref="D245:D247"/>
    <mergeCell ref="E245:E247"/>
    <mergeCell ref="F245:F247"/>
    <mergeCell ref="G245:G247"/>
    <mergeCell ref="H248:H250"/>
    <mergeCell ref="I248:I250"/>
    <mergeCell ref="J248:J250"/>
    <mergeCell ref="A248:A250"/>
    <mergeCell ref="B248:B250"/>
    <mergeCell ref="C248:C250"/>
    <mergeCell ref="D248:D250"/>
    <mergeCell ref="E248:E250"/>
    <mergeCell ref="F248:F250"/>
    <mergeCell ref="G248:G250"/>
    <mergeCell ref="H251:H253"/>
    <mergeCell ref="I251:I253"/>
    <mergeCell ref="J251:J253"/>
    <mergeCell ref="A251:A253"/>
    <mergeCell ref="B251:B253"/>
    <mergeCell ref="C251:C253"/>
    <mergeCell ref="D251:D253"/>
    <mergeCell ref="E251:E253"/>
    <mergeCell ref="F251:F253"/>
    <mergeCell ref="G251:G253"/>
    <mergeCell ref="H254:H256"/>
    <mergeCell ref="I254:I256"/>
    <mergeCell ref="J254:J256"/>
    <mergeCell ref="A254:A256"/>
    <mergeCell ref="B254:B256"/>
    <mergeCell ref="C254:C256"/>
    <mergeCell ref="D254:D256"/>
    <mergeCell ref="E254:E256"/>
    <mergeCell ref="F254:F256"/>
    <mergeCell ref="G254:G256"/>
    <mergeCell ref="H257:H259"/>
    <mergeCell ref="I257:I259"/>
    <mergeCell ref="J257:J259"/>
    <mergeCell ref="A257:A259"/>
    <mergeCell ref="B257:B259"/>
    <mergeCell ref="C257:C259"/>
    <mergeCell ref="D257:D259"/>
    <mergeCell ref="E257:E259"/>
    <mergeCell ref="F257:F259"/>
    <mergeCell ref="G257:G259"/>
    <mergeCell ref="H260:H262"/>
    <mergeCell ref="I260:I262"/>
    <mergeCell ref="J260:J262"/>
    <mergeCell ref="A260:A262"/>
    <mergeCell ref="B260:B262"/>
    <mergeCell ref="C260:C262"/>
    <mergeCell ref="D260:D262"/>
    <mergeCell ref="E260:E262"/>
    <mergeCell ref="F260:F262"/>
    <mergeCell ref="G260:G262"/>
    <mergeCell ref="H263:H265"/>
    <mergeCell ref="I263:I265"/>
    <mergeCell ref="J263:J265"/>
    <mergeCell ref="A263:A265"/>
    <mergeCell ref="B263:B265"/>
    <mergeCell ref="C263:C265"/>
    <mergeCell ref="D263:D265"/>
    <mergeCell ref="E263:E265"/>
    <mergeCell ref="F263:F265"/>
    <mergeCell ref="G263:G265"/>
    <mergeCell ref="H266:H268"/>
    <mergeCell ref="I266:I268"/>
    <mergeCell ref="J266:J268"/>
    <mergeCell ref="A266:A268"/>
    <mergeCell ref="B266:B268"/>
    <mergeCell ref="C266:C268"/>
    <mergeCell ref="D266:D268"/>
    <mergeCell ref="E266:E268"/>
    <mergeCell ref="F266:F268"/>
    <mergeCell ref="G266:G268"/>
    <mergeCell ref="H269:H271"/>
    <mergeCell ref="I269:I271"/>
    <mergeCell ref="J269:J271"/>
    <mergeCell ref="A269:A271"/>
    <mergeCell ref="B269:B271"/>
    <mergeCell ref="C269:C271"/>
    <mergeCell ref="D269:D271"/>
    <mergeCell ref="E269:E271"/>
    <mergeCell ref="F269:F271"/>
    <mergeCell ref="G269:G271"/>
    <mergeCell ref="H272:H274"/>
    <mergeCell ref="I272:I274"/>
    <mergeCell ref="J272:J274"/>
    <mergeCell ref="A272:A274"/>
    <mergeCell ref="B272:B274"/>
    <mergeCell ref="C272:C274"/>
    <mergeCell ref="D272:D274"/>
    <mergeCell ref="E272:E274"/>
    <mergeCell ref="F272:F274"/>
    <mergeCell ref="G272:G274"/>
    <mergeCell ref="H275:H277"/>
    <mergeCell ref="I275:I277"/>
    <mergeCell ref="J275:J277"/>
    <mergeCell ref="A275:A277"/>
    <mergeCell ref="B275:B277"/>
    <mergeCell ref="C275:C277"/>
    <mergeCell ref="D275:D277"/>
    <mergeCell ref="E275:E277"/>
    <mergeCell ref="F275:F277"/>
    <mergeCell ref="G275:G277"/>
    <mergeCell ref="H278:H280"/>
    <mergeCell ref="I278:I280"/>
    <mergeCell ref="J278:J280"/>
    <mergeCell ref="A278:A280"/>
    <mergeCell ref="B278:B280"/>
    <mergeCell ref="C278:C280"/>
    <mergeCell ref="D278:D280"/>
    <mergeCell ref="E278:E280"/>
    <mergeCell ref="F278:F280"/>
    <mergeCell ref="G278:G280"/>
    <mergeCell ref="H281:H283"/>
    <mergeCell ref="I281:I283"/>
    <mergeCell ref="J281:J283"/>
    <mergeCell ref="A281:A283"/>
    <mergeCell ref="B281:B283"/>
    <mergeCell ref="C281:C283"/>
    <mergeCell ref="D281:D283"/>
    <mergeCell ref="E281:E283"/>
    <mergeCell ref="F281:F283"/>
    <mergeCell ref="G281:G283"/>
    <mergeCell ref="H284:H286"/>
    <mergeCell ref="I284:I286"/>
    <mergeCell ref="J284:J286"/>
    <mergeCell ref="A284:A286"/>
    <mergeCell ref="B284:B286"/>
    <mergeCell ref="C284:C286"/>
    <mergeCell ref="D284:D286"/>
    <mergeCell ref="E284:E286"/>
    <mergeCell ref="F284:F286"/>
    <mergeCell ref="G284:G286"/>
    <mergeCell ref="H287:H289"/>
    <mergeCell ref="I287:I289"/>
    <mergeCell ref="J287:J289"/>
    <mergeCell ref="A287:A289"/>
    <mergeCell ref="B287:B289"/>
    <mergeCell ref="C287:C289"/>
    <mergeCell ref="D287:D289"/>
    <mergeCell ref="E287:E289"/>
    <mergeCell ref="F287:F289"/>
    <mergeCell ref="G287:G289"/>
    <mergeCell ref="H290:H292"/>
    <mergeCell ref="I290:I292"/>
    <mergeCell ref="J290:J292"/>
    <mergeCell ref="A290:A292"/>
    <mergeCell ref="B290:B292"/>
    <mergeCell ref="C290:C292"/>
    <mergeCell ref="D290:D292"/>
    <mergeCell ref="E290:E292"/>
    <mergeCell ref="F290:F292"/>
    <mergeCell ref="G290:G292"/>
    <mergeCell ref="H293:H295"/>
    <mergeCell ref="I293:I295"/>
    <mergeCell ref="J293:J295"/>
    <mergeCell ref="A293:A295"/>
    <mergeCell ref="B293:B295"/>
    <mergeCell ref="C293:C295"/>
    <mergeCell ref="D293:D295"/>
    <mergeCell ref="E293:E295"/>
    <mergeCell ref="F293:F295"/>
    <mergeCell ref="G293:G295"/>
    <mergeCell ref="H296:H298"/>
    <mergeCell ref="I296:I298"/>
    <mergeCell ref="J296:J298"/>
    <mergeCell ref="A296:A298"/>
    <mergeCell ref="B296:B298"/>
    <mergeCell ref="C296:C298"/>
    <mergeCell ref="D296:D298"/>
    <mergeCell ref="E296:E298"/>
    <mergeCell ref="F296:F298"/>
    <mergeCell ref="G296:G298"/>
    <mergeCell ref="H299:H301"/>
    <mergeCell ref="I299:I301"/>
    <mergeCell ref="J299:J301"/>
    <mergeCell ref="A299:A301"/>
    <mergeCell ref="B299:B301"/>
    <mergeCell ref="C299:C301"/>
    <mergeCell ref="D299:D301"/>
    <mergeCell ref="E299:E301"/>
    <mergeCell ref="F299:F301"/>
    <mergeCell ref="G299:G301"/>
    <mergeCell ref="H302:H304"/>
    <mergeCell ref="I302:I304"/>
    <mergeCell ref="J302:J304"/>
    <mergeCell ref="A302:A304"/>
    <mergeCell ref="B302:B304"/>
    <mergeCell ref="C302:C304"/>
    <mergeCell ref="D302:D304"/>
    <mergeCell ref="E302:E304"/>
    <mergeCell ref="F302:F304"/>
    <mergeCell ref="G302:G304"/>
    <mergeCell ref="H305:H307"/>
    <mergeCell ref="I305:I307"/>
    <mergeCell ref="J305:J307"/>
    <mergeCell ref="A305:A307"/>
    <mergeCell ref="B305:B307"/>
    <mergeCell ref="C305:C307"/>
    <mergeCell ref="D305:D307"/>
    <mergeCell ref="E305:E307"/>
    <mergeCell ref="F305:F307"/>
    <mergeCell ref="G305:G307"/>
    <mergeCell ref="H308:H310"/>
    <mergeCell ref="I308:I310"/>
    <mergeCell ref="J308:J310"/>
    <mergeCell ref="A308:A310"/>
    <mergeCell ref="B308:B310"/>
    <mergeCell ref="C308:C310"/>
    <mergeCell ref="D308:D310"/>
    <mergeCell ref="E308:E310"/>
    <mergeCell ref="F308:F310"/>
    <mergeCell ref="G308:G310"/>
    <mergeCell ref="H437:H439"/>
    <mergeCell ref="I437:I439"/>
    <mergeCell ref="J437:J439"/>
    <mergeCell ref="A437:A439"/>
    <mergeCell ref="B437:B439"/>
    <mergeCell ref="C437:C439"/>
    <mergeCell ref="D437:D439"/>
    <mergeCell ref="E437:E439"/>
    <mergeCell ref="F437:F439"/>
    <mergeCell ref="G437:G439"/>
    <mergeCell ref="H440:H442"/>
    <mergeCell ref="I440:J442"/>
    <mergeCell ref="A440:A442"/>
    <mergeCell ref="B440:B442"/>
    <mergeCell ref="C440:C442"/>
    <mergeCell ref="D440:D442"/>
    <mergeCell ref="E440:E442"/>
    <mergeCell ref="F440:F442"/>
    <mergeCell ref="G440:G442"/>
    <mergeCell ref="H443:H445"/>
    <mergeCell ref="I443:I445"/>
    <mergeCell ref="J443:J445"/>
    <mergeCell ref="A443:A445"/>
    <mergeCell ref="B443:B445"/>
    <mergeCell ref="C443:C445"/>
    <mergeCell ref="D443:D445"/>
    <mergeCell ref="E443:E445"/>
    <mergeCell ref="F443:F445"/>
    <mergeCell ref="G443:G445"/>
    <mergeCell ref="H446:H448"/>
    <mergeCell ref="I446:J448"/>
    <mergeCell ref="A446:A448"/>
    <mergeCell ref="B446:B448"/>
    <mergeCell ref="C446:C448"/>
    <mergeCell ref="D446:D448"/>
    <mergeCell ref="E446:E448"/>
    <mergeCell ref="F446:F448"/>
    <mergeCell ref="G446:G448"/>
    <mergeCell ref="H449:H451"/>
    <mergeCell ref="I449:I451"/>
    <mergeCell ref="J449:J451"/>
    <mergeCell ref="A449:A451"/>
    <mergeCell ref="B449:B451"/>
    <mergeCell ref="C449:C451"/>
    <mergeCell ref="D449:D451"/>
    <mergeCell ref="E449:E451"/>
    <mergeCell ref="F449:F451"/>
    <mergeCell ref="G449:G451"/>
    <mergeCell ref="H452:H454"/>
    <mergeCell ref="I452:I454"/>
    <mergeCell ref="J452:J454"/>
    <mergeCell ref="A452:A454"/>
    <mergeCell ref="B452:B454"/>
    <mergeCell ref="C452:C454"/>
    <mergeCell ref="D452:D454"/>
    <mergeCell ref="E452:E454"/>
    <mergeCell ref="F452:F454"/>
    <mergeCell ref="G452:G454"/>
    <mergeCell ref="A455:A457"/>
    <mergeCell ref="B455:B457"/>
    <mergeCell ref="C455:C457"/>
    <mergeCell ref="D455:D457"/>
    <mergeCell ref="E455:E457"/>
    <mergeCell ref="F455:F457"/>
    <mergeCell ref="G455:G457"/>
    <mergeCell ref="K467:K469"/>
    <mergeCell ref="L467:L469"/>
    <mergeCell ref="K476:L478"/>
    <mergeCell ref="H455:H457"/>
    <mergeCell ref="I455:I457"/>
    <mergeCell ref="J455:J457"/>
    <mergeCell ref="K461:K463"/>
    <mergeCell ref="L461:L463"/>
    <mergeCell ref="K464:K466"/>
    <mergeCell ref="L464:L466"/>
    <mergeCell ref="H458:H460"/>
    <mergeCell ref="I458:J460"/>
    <mergeCell ref="A458:A460"/>
    <mergeCell ref="B458:B460"/>
    <mergeCell ref="C458:C460"/>
    <mergeCell ref="D458:D460"/>
    <mergeCell ref="E458:E460"/>
    <mergeCell ref="F458:F460"/>
    <mergeCell ref="G458:G460"/>
    <mergeCell ref="H461:H463"/>
    <mergeCell ref="I461:I463"/>
    <mergeCell ref="J461:J463"/>
    <mergeCell ref="A461:A463"/>
    <mergeCell ref="B461:B463"/>
    <mergeCell ref="C461:C463"/>
    <mergeCell ref="D461:D463"/>
    <mergeCell ref="E461:E463"/>
    <mergeCell ref="F461:F463"/>
    <mergeCell ref="G461:G463"/>
    <mergeCell ref="H464:H466"/>
    <mergeCell ref="I464:I466"/>
    <mergeCell ref="J464:J466"/>
    <mergeCell ref="A464:A466"/>
    <mergeCell ref="B464:B466"/>
    <mergeCell ref="C464:C466"/>
    <mergeCell ref="D464:D466"/>
    <mergeCell ref="E464:E466"/>
    <mergeCell ref="F464:F466"/>
    <mergeCell ref="G464:G466"/>
    <mergeCell ref="H467:H469"/>
    <mergeCell ref="I467:J469"/>
    <mergeCell ref="A467:A469"/>
    <mergeCell ref="B467:B469"/>
    <mergeCell ref="C467:C469"/>
    <mergeCell ref="D467:D469"/>
    <mergeCell ref="E467:E469"/>
    <mergeCell ref="F467:F469"/>
    <mergeCell ref="G467:G469"/>
    <mergeCell ref="H470:H472"/>
    <mergeCell ref="I470:I472"/>
    <mergeCell ref="J470:J472"/>
    <mergeCell ref="A470:A472"/>
    <mergeCell ref="B470:B472"/>
    <mergeCell ref="C470:C472"/>
    <mergeCell ref="D470:D472"/>
    <mergeCell ref="E470:E472"/>
    <mergeCell ref="F470:F472"/>
    <mergeCell ref="G470:G472"/>
    <mergeCell ref="H473:H475"/>
    <mergeCell ref="I473:I475"/>
    <mergeCell ref="J473:J475"/>
    <mergeCell ref="A473:A475"/>
    <mergeCell ref="B473:B475"/>
    <mergeCell ref="C473:C475"/>
    <mergeCell ref="D473:D475"/>
    <mergeCell ref="E473:E475"/>
    <mergeCell ref="F473:F475"/>
    <mergeCell ref="G473:G475"/>
    <mergeCell ref="H476:H478"/>
    <mergeCell ref="I476:J478"/>
    <mergeCell ref="A476:A478"/>
    <mergeCell ref="B476:B478"/>
    <mergeCell ref="C476:C478"/>
    <mergeCell ref="D476:D478"/>
    <mergeCell ref="E476:E478"/>
    <mergeCell ref="F476:F478"/>
    <mergeCell ref="G476:G478"/>
    <mergeCell ref="H311:H313"/>
    <mergeCell ref="I311:I313"/>
    <mergeCell ref="J311:J313"/>
    <mergeCell ref="A311:A313"/>
    <mergeCell ref="B311:B313"/>
    <mergeCell ref="C311:C313"/>
    <mergeCell ref="D311:D313"/>
    <mergeCell ref="E311:E313"/>
    <mergeCell ref="F311:F313"/>
    <mergeCell ref="G311:G313"/>
    <mergeCell ref="H314:H316"/>
    <mergeCell ref="I314:I316"/>
    <mergeCell ref="J314:J316"/>
    <mergeCell ref="A314:A316"/>
    <mergeCell ref="B314:B316"/>
    <mergeCell ref="C314:C316"/>
    <mergeCell ref="D314:D316"/>
    <mergeCell ref="E314:E316"/>
    <mergeCell ref="F314:F316"/>
    <mergeCell ref="G314:G316"/>
    <mergeCell ref="H317:H319"/>
    <mergeCell ref="I317:I319"/>
    <mergeCell ref="J317:J319"/>
    <mergeCell ref="A317:A319"/>
    <mergeCell ref="B317:B319"/>
    <mergeCell ref="C317:C319"/>
    <mergeCell ref="D317:D319"/>
    <mergeCell ref="E317:E319"/>
    <mergeCell ref="F317:F319"/>
    <mergeCell ref="G317:G319"/>
    <mergeCell ref="H320:H322"/>
    <mergeCell ref="I320:I322"/>
    <mergeCell ref="J320:J322"/>
    <mergeCell ref="A320:A322"/>
    <mergeCell ref="B320:B322"/>
    <mergeCell ref="C320:C322"/>
    <mergeCell ref="D320:D322"/>
    <mergeCell ref="E320:E322"/>
    <mergeCell ref="F320:F322"/>
    <mergeCell ref="G320:G322"/>
    <mergeCell ref="H323:H325"/>
    <mergeCell ref="I323:I325"/>
    <mergeCell ref="J323:J325"/>
    <mergeCell ref="A323:A325"/>
    <mergeCell ref="B323:B325"/>
    <mergeCell ref="C323:C325"/>
    <mergeCell ref="D323:D325"/>
    <mergeCell ref="E323:E325"/>
    <mergeCell ref="F323:F325"/>
    <mergeCell ref="G323:G325"/>
    <mergeCell ref="H326:H328"/>
    <mergeCell ref="I326:I328"/>
    <mergeCell ref="J326:J328"/>
    <mergeCell ref="A326:A328"/>
    <mergeCell ref="B326:B328"/>
    <mergeCell ref="C326:C328"/>
    <mergeCell ref="D326:D328"/>
    <mergeCell ref="E326:E328"/>
    <mergeCell ref="F326:F328"/>
    <mergeCell ref="G326:G328"/>
    <mergeCell ref="H329:H331"/>
    <mergeCell ref="I329:I331"/>
    <mergeCell ref="J329:J331"/>
    <mergeCell ref="A329:A331"/>
    <mergeCell ref="B329:B331"/>
    <mergeCell ref="C329:C331"/>
    <mergeCell ref="D329:D331"/>
    <mergeCell ref="E329:E331"/>
    <mergeCell ref="F329:F331"/>
    <mergeCell ref="G329:G331"/>
    <mergeCell ref="H332:H334"/>
    <mergeCell ref="I332:I334"/>
    <mergeCell ref="J332:J334"/>
    <mergeCell ref="A332:A334"/>
    <mergeCell ref="B332:B334"/>
    <mergeCell ref="C332:C334"/>
    <mergeCell ref="D332:D334"/>
    <mergeCell ref="E332:E334"/>
    <mergeCell ref="F332:F334"/>
    <mergeCell ref="G332:G334"/>
    <mergeCell ref="H335:H337"/>
    <mergeCell ref="I335:I337"/>
    <mergeCell ref="J335:J337"/>
    <mergeCell ref="A335:A337"/>
    <mergeCell ref="B335:B337"/>
    <mergeCell ref="C335:C337"/>
    <mergeCell ref="D335:D337"/>
    <mergeCell ref="E335:E337"/>
    <mergeCell ref="F335:F337"/>
    <mergeCell ref="G335:G337"/>
    <mergeCell ref="H338:H340"/>
    <mergeCell ref="I338:I340"/>
    <mergeCell ref="J338:J340"/>
    <mergeCell ref="A338:A340"/>
    <mergeCell ref="B338:B340"/>
    <mergeCell ref="C338:C340"/>
    <mergeCell ref="D338:D340"/>
    <mergeCell ref="E338:E340"/>
    <mergeCell ref="F338:F340"/>
    <mergeCell ref="G338:G340"/>
    <mergeCell ref="H341:H343"/>
    <mergeCell ref="I341:I343"/>
    <mergeCell ref="J341:J343"/>
    <mergeCell ref="A341:A343"/>
    <mergeCell ref="B341:B343"/>
    <mergeCell ref="C341:C343"/>
    <mergeCell ref="D341:D343"/>
    <mergeCell ref="E341:E343"/>
    <mergeCell ref="F341:F343"/>
    <mergeCell ref="G341:G343"/>
    <mergeCell ref="H344:H346"/>
    <mergeCell ref="I344:I346"/>
    <mergeCell ref="J344:J346"/>
    <mergeCell ref="A344:A346"/>
    <mergeCell ref="B344:B346"/>
    <mergeCell ref="C344:C346"/>
    <mergeCell ref="D344:D346"/>
    <mergeCell ref="E344:E346"/>
    <mergeCell ref="F344:F346"/>
    <mergeCell ref="G344:G346"/>
    <mergeCell ref="H347:H349"/>
    <mergeCell ref="I347:I349"/>
    <mergeCell ref="J347:J349"/>
    <mergeCell ref="A347:A349"/>
    <mergeCell ref="B347:B349"/>
    <mergeCell ref="C347:C349"/>
    <mergeCell ref="D347:D349"/>
    <mergeCell ref="E347:E349"/>
    <mergeCell ref="F347:F349"/>
    <mergeCell ref="G347:G349"/>
    <mergeCell ref="H350:H352"/>
    <mergeCell ref="I350:I352"/>
    <mergeCell ref="J350:J352"/>
    <mergeCell ref="A350:A352"/>
    <mergeCell ref="B350:B352"/>
    <mergeCell ref="C350:C352"/>
    <mergeCell ref="D350:D352"/>
    <mergeCell ref="E350:E352"/>
    <mergeCell ref="F350:F352"/>
    <mergeCell ref="G350:G352"/>
    <mergeCell ref="H353:H355"/>
    <mergeCell ref="I353:I355"/>
    <mergeCell ref="J353:J355"/>
    <mergeCell ref="A353:A355"/>
    <mergeCell ref="B353:B355"/>
    <mergeCell ref="C353:C355"/>
    <mergeCell ref="D353:D355"/>
    <mergeCell ref="E353:E355"/>
    <mergeCell ref="F353:F355"/>
    <mergeCell ref="G353:G355"/>
    <mergeCell ref="H356:H358"/>
    <mergeCell ref="I356:I358"/>
    <mergeCell ref="J356:J358"/>
    <mergeCell ref="A356:A358"/>
    <mergeCell ref="B356:B358"/>
    <mergeCell ref="C356:C358"/>
    <mergeCell ref="D356:D358"/>
    <mergeCell ref="E356:E358"/>
    <mergeCell ref="F356:F358"/>
    <mergeCell ref="G356:G358"/>
    <mergeCell ref="H359:H361"/>
    <mergeCell ref="I359:I361"/>
    <mergeCell ref="J359:J361"/>
    <mergeCell ref="A359:A361"/>
    <mergeCell ref="B359:B361"/>
    <mergeCell ref="C359:C361"/>
    <mergeCell ref="D359:D361"/>
    <mergeCell ref="E359:E361"/>
    <mergeCell ref="F359:F361"/>
    <mergeCell ref="G359:G361"/>
    <mergeCell ref="H362:H364"/>
    <mergeCell ref="I362:I364"/>
    <mergeCell ref="J362:J364"/>
    <mergeCell ref="A362:A364"/>
    <mergeCell ref="B362:B364"/>
    <mergeCell ref="C362:C364"/>
    <mergeCell ref="D362:D364"/>
    <mergeCell ref="E362:E364"/>
    <mergeCell ref="F362:F364"/>
    <mergeCell ref="G362:G364"/>
    <mergeCell ref="H365:H367"/>
    <mergeCell ref="I365:I367"/>
    <mergeCell ref="J365:J367"/>
    <mergeCell ref="A365:A367"/>
    <mergeCell ref="B365:B367"/>
    <mergeCell ref="C365:C367"/>
    <mergeCell ref="D365:D367"/>
    <mergeCell ref="E365:E367"/>
    <mergeCell ref="F365:F367"/>
    <mergeCell ref="G365:G367"/>
    <mergeCell ref="H368:H370"/>
    <mergeCell ref="I368:I370"/>
    <mergeCell ref="J368:J370"/>
    <mergeCell ref="A368:A370"/>
    <mergeCell ref="B368:B370"/>
    <mergeCell ref="C368:C370"/>
    <mergeCell ref="D368:D370"/>
    <mergeCell ref="E368:E370"/>
    <mergeCell ref="F368:F370"/>
    <mergeCell ref="G368:G370"/>
    <mergeCell ref="H371:H373"/>
    <mergeCell ref="I371:I373"/>
    <mergeCell ref="J371:J373"/>
    <mergeCell ref="A371:A373"/>
    <mergeCell ref="B371:B373"/>
    <mergeCell ref="C371:C373"/>
    <mergeCell ref="D371:D373"/>
    <mergeCell ref="E371:E373"/>
    <mergeCell ref="F371:F373"/>
    <mergeCell ref="G371:G373"/>
    <mergeCell ref="H374:H376"/>
    <mergeCell ref="I374:I376"/>
    <mergeCell ref="J374:J376"/>
    <mergeCell ref="A374:A376"/>
    <mergeCell ref="B374:B376"/>
    <mergeCell ref="C374:C376"/>
    <mergeCell ref="D374:D376"/>
    <mergeCell ref="E374:E376"/>
    <mergeCell ref="F374:F376"/>
    <mergeCell ref="G374:G376"/>
    <mergeCell ref="H377:H379"/>
    <mergeCell ref="I377:I379"/>
    <mergeCell ref="J377:J379"/>
    <mergeCell ref="A377:A379"/>
    <mergeCell ref="B377:B379"/>
    <mergeCell ref="C377:C379"/>
    <mergeCell ref="D377:D379"/>
    <mergeCell ref="E377:E379"/>
    <mergeCell ref="F377:F379"/>
    <mergeCell ref="G377:G379"/>
    <mergeCell ref="H380:H382"/>
    <mergeCell ref="I380:I382"/>
    <mergeCell ref="J380:J382"/>
    <mergeCell ref="A380:A382"/>
    <mergeCell ref="B380:B382"/>
    <mergeCell ref="C380:C382"/>
    <mergeCell ref="D380:D382"/>
    <mergeCell ref="E380:E382"/>
    <mergeCell ref="F380:F382"/>
    <mergeCell ref="G380:G382"/>
    <mergeCell ref="H383:H385"/>
    <mergeCell ref="I383:I385"/>
    <mergeCell ref="J383:J385"/>
    <mergeCell ref="A383:A385"/>
    <mergeCell ref="B383:B385"/>
    <mergeCell ref="C383:C385"/>
    <mergeCell ref="D383:D385"/>
    <mergeCell ref="E383:E385"/>
    <mergeCell ref="F383:F385"/>
    <mergeCell ref="G383:G385"/>
    <mergeCell ref="H386:H388"/>
    <mergeCell ref="I386:I388"/>
    <mergeCell ref="J386:J388"/>
    <mergeCell ref="A386:A388"/>
    <mergeCell ref="B386:B388"/>
    <mergeCell ref="C386:C388"/>
    <mergeCell ref="D386:D388"/>
    <mergeCell ref="E386:E388"/>
    <mergeCell ref="F386:F388"/>
    <mergeCell ref="G386:G388"/>
    <mergeCell ref="H389:H391"/>
    <mergeCell ref="I389:I391"/>
    <mergeCell ref="J389:J391"/>
    <mergeCell ref="A389:A391"/>
    <mergeCell ref="B389:B391"/>
    <mergeCell ref="C389:C391"/>
    <mergeCell ref="D389:D391"/>
    <mergeCell ref="E389:E391"/>
    <mergeCell ref="F389:F391"/>
    <mergeCell ref="G389:G391"/>
    <mergeCell ref="H392:H394"/>
    <mergeCell ref="I392:I394"/>
    <mergeCell ref="J392:J394"/>
    <mergeCell ref="A392:A394"/>
    <mergeCell ref="B392:B394"/>
    <mergeCell ref="C392:C394"/>
    <mergeCell ref="D392:D394"/>
    <mergeCell ref="E392:E394"/>
    <mergeCell ref="F392:F394"/>
    <mergeCell ref="G392:G394"/>
    <mergeCell ref="H395:H397"/>
    <mergeCell ref="I395:I397"/>
    <mergeCell ref="J395:J397"/>
    <mergeCell ref="A395:A397"/>
    <mergeCell ref="B395:B397"/>
    <mergeCell ref="C395:C397"/>
    <mergeCell ref="D395:D397"/>
    <mergeCell ref="E395:E397"/>
    <mergeCell ref="F395:F397"/>
    <mergeCell ref="G395:G397"/>
    <mergeCell ref="H398:H400"/>
    <mergeCell ref="I398:I400"/>
    <mergeCell ref="J398:J400"/>
    <mergeCell ref="A398:A400"/>
    <mergeCell ref="B398:B400"/>
    <mergeCell ref="C398:C400"/>
    <mergeCell ref="D398:D400"/>
    <mergeCell ref="E398:E400"/>
    <mergeCell ref="F398:F400"/>
    <mergeCell ref="G398:G400"/>
    <mergeCell ref="H401:H403"/>
    <mergeCell ref="I401:I403"/>
    <mergeCell ref="J401:J403"/>
    <mergeCell ref="A401:A403"/>
    <mergeCell ref="B401:B403"/>
    <mergeCell ref="C401:C403"/>
    <mergeCell ref="D401:D403"/>
    <mergeCell ref="E401:E403"/>
    <mergeCell ref="F401:F403"/>
    <mergeCell ref="G401:G403"/>
    <mergeCell ref="H404:H406"/>
    <mergeCell ref="I404:I406"/>
    <mergeCell ref="J404:J406"/>
    <mergeCell ref="A404:A406"/>
    <mergeCell ref="B404:B406"/>
    <mergeCell ref="C404:C406"/>
    <mergeCell ref="D404:D406"/>
    <mergeCell ref="E404:E406"/>
    <mergeCell ref="F404:F406"/>
    <mergeCell ref="G404:G406"/>
    <mergeCell ref="H407:H409"/>
    <mergeCell ref="I407:I409"/>
    <mergeCell ref="J407:J409"/>
    <mergeCell ref="A407:A409"/>
    <mergeCell ref="B407:B409"/>
    <mergeCell ref="C407:C409"/>
    <mergeCell ref="D407:D409"/>
    <mergeCell ref="E407:E409"/>
    <mergeCell ref="F407:F409"/>
    <mergeCell ref="G407:G409"/>
    <mergeCell ref="H410:H412"/>
    <mergeCell ref="I410:I412"/>
    <mergeCell ref="J410:J412"/>
    <mergeCell ref="A410:A412"/>
    <mergeCell ref="B410:B412"/>
    <mergeCell ref="C410:C412"/>
    <mergeCell ref="D410:D412"/>
    <mergeCell ref="E410:E412"/>
    <mergeCell ref="F410:F412"/>
    <mergeCell ref="G410:G412"/>
    <mergeCell ref="H413:H415"/>
    <mergeCell ref="I413:I415"/>
    <mergeCell ref="J413:J415"/>
    <mergeCell ref="A413:A415"/>
    <mergeCell ref="B413:B415"/>
    <mergeCell ref="C413:C415"/>
    <mergeCell ref="D413:D415"/>
    <mergeCell ref="E413:E415"/>
    <mergeCell ref="F413:F415"/>
    <mergeCell ref="G413:G415"/>
    <mergeCell ref="H416:H418"/>
    <mergeCell ref="I416:I418"/>
    <mergeCell ref="J416:J418"/>
    <mergeCell ref="A416:A418"/>
    <mergeCell ref="B416:B418"/>
    <mergeCell ref="C416:C418"/>
    <mergeCell ref="D416:D418"/>
    <mergeCell ref="E416:E418"/>
    <mergeCell ref="F416:F418"/>
    <mergeCell ref="G416:G418"/>
    <mergeCell ref="H419:H421"/>
    <mergeCell ref="I419:I421"/>
    <mergeCell ref="J419:J421"/>
    <mergeCell ref="A419:A421"/>
    <mergeCell ref="B419:B421"/>
    <mergeCell ref="C419:C421"/>
    <mergeCell ref="D419:D421"/>
    <mergeCell ref="E419:E421"/>
    <mergeCell ref="F419:F421"/>
    <mergeCell ref="G419:G421"/>
    <mergeCell ref="H422:H424"/>
    <mergeCell ref="I422:I424"/>
    <mergeCell ref="J422:J424"/>
    <mergeCell ref="A422:A424"/>
    <mergeCell ref="B422:B424"/>
    <mergeCell ref="C422:C424"/>
    <mergeCell ref="D422:D424"/>
    <mergeCell ref="E422:E424"/>
    <mergeCell ref="F422:F424"/>
    <mergeCell ref="G422:G424"/>
    <mergeCell ref="H425:H427"/>
    <mergeCell ref="I425:I427"/>
    <mergeCell ref="J425:J427"/>
    <mergeCell ref="A425:A427"/>
    <mergeCell ref="B425:B427"/>
    <mergeCell ref="C425:C427"/>
    <mergeCell ref="D425:D427"/>
    <mergeCell ref="E425:E427"/>
    <mergeCell ref="F425:F427"/>
    <mergeCell ref="G425:G427"/>
    <mergeCell ref="H428:H430"/>
    <mergeCell ref="I428:I430"/>
    <mergeCell ref="J428:J430"/>
    <mergeCell ref="A428:A430"/>
    <mergeCell ref="B428:B430"/>
    <mergeCell ref="C428:C430"/>
    <mergeCell ref="D428:D430"/>
    <mergeCell ref="E428:E430"/>
    <mergeCell ref="F428:F430"/>
    <mergeCell ref="G428:G430"/>
    <mergeCell ref="H431:H433"/>
    <mergeCell ref="I431:I433"/>
    <mergeCell ref="J431:J433"/>
    <mergeCell ref="A431:A433"/>
    <mergeCell ref="B431:B433"/>
    <mergeCell ref="C431:C433"/>
    <mergeCell ref="D431:D433"/>
    <mergeCell ref="E431:E433"/>
    <mergeCell ref="F431:F433"/>
    <mergeCell ref="G431:G433"/>
    <mergeCell ref="H434:H436"/>
    <mergeCell ref="I434:I436"/>
    <mergeCell ref="J434:J436"/>
    <mergeCell ref="K443:K445"/>
    <mergeCell ref="L443:L445"/>
    <mergeCell ref="K446:K448"/>
    <mergeCell ref="L446:L448"/>
    <mergeCell ref="A434:A436"/>
    <mergeCell ref="B434:B436"/>
    <mergeCell ref="C434:C436"/>
    <mergeCell ref="D434:D436"/>
    <mergeCell ref="E434:E436"/>
    <mergeCell ref="F434:F436"/>
    <mergeCell ref="G434:G436"/>
    <mergeCell ref="H479:H481"/>
    <mergeCell ref="I479:I481"/>
    <mergeCell ref="J479:J481"/>
    <mergeCell ref="A479:A481"/>
    <mergeCell ref="B479:B481"/>
    <mergeCell ref="C479:C481"/>
    <mergeCell ref="D479:D481"/>
    <mergeCell ref="E479:E481"/>
    <mergeCell ref="F479:F481"/>
    <mergeCell ref="G479:G481"/>
    <mergeCell ref="H482:H484"/>
    <mergeCell ref="I482:I484"/>
    <mergeCell ref="J482:J484"/>
    <mergeCell ref="A482:A484"/>
    <mergeCell ref="B482:B484"/>
    <mergeCell ref="C482:C484"/>
    <mergeCell ref="D482:D484"/>
    <mergeCell ref="E482:E484"/>
    <mergeCell ref="F482:F484"/>
    <mergeCell ref="G482:G484"/>
    <mergeCell ref="H485:H487"/>
    <mergeCell ref="I485:I487"/>
    <mergeCell ref="J485:J487"/>
    <mergeCell ref="A485:A487"/>
    <mergeCell ref="B485:B487"/>
    <mergeCell ref="C485:C487"/>
    <mergeCell ref="D485:D487"/>
    <mergeCell ref="E485:E487"/>
    <mergeCell ref="F485:F487"/>
    <mergeCell ref="G485:G487"/>
    <mergeCell ref="H488:H490"/>
    <mergeCell ref="I488:I490"/>
    <mergeCell ref="J488:J490"/>
    <mergeCell ref="A488:A490"/>
    <mergeCell ref="B488:B490"/>
    <mergeCell ref="C488:C490"/>
    <mergeCell ref="D488:D490"/>
    <mergeCell ref="E488:E490"/>
    <mergeCell ref="F488:F490"/>
    <mergeCell ref="G488:G490"/>
    <mergeCell ref="H491:H493"/>
    <mergeCell ref="I491:I493"/>
    <mergeCell ref="J491:J493"/>
    <mergeCell ref="K494:K496"/>
    <mergeCell ref="L494:L496"/>
    <mergeCell ref="A491:A493"/>
    <mergeCell ref="B491:B493"/>
    <mergeCell ref="C491:C493"/>
    <mergeCell ref="D491:D493"/>
    <mergeCell ref="E491:E493"/>
    <mergeCell ref="F491:F493"/>
    <mergeCell ref="G491:G493"/>
    <mergeCell ref="H494:H496"/>
    <mergeCell ref="I494:I496"/>
    <mergeCell ref="J494:J496"/>
    <mergeCell ref="A494:A496"/>
    <mergeCell ref="B494:B496"/>
    <mergeCell ref="C494:C496"/>
    <mergeCell ref="D494:D496"/>
    <mergeCell ref="E494:E496"/>
    <mergeCell ref="F494:F496"/>
    <mergeCell ref="G494:G496"/>
    <mergeCell ref="H497:H499"/>
    <mergeCell ref="I497:J499"/>
    <mergeCell ref="K500:K502"/>
    <mergeCell ref="L500:L502"/>
    <mergeCell ref="K533:K535"/>
    <mergeCell ref="L533:L535"/>
    <mergeCell ref="K539:K541"/>
    <mergeCell ref="L539:L541"/>
    <mergeCell ref="A497:A499"/>
    <mergeCell ref="B497:B499"/>
    <mergeCell ref="C497:C499"/>
    <mergeCell ref="D497:D499"/>
    <mergeCell ref="E497:E499"/>
    <mergeCell ref="F497:F499"/>
    <mergeCell ref="G497:G499"/>
    <mergeCell ref="H647:H649"/>
    <mergeCell ref="I647:I649"/>
    <mergeCell ref="J647:J649"/>
    <mergeCell ref="A647:A649"/>
    <mergeCell ref="B647:B649"/>
    <mergeCell ref="C647:C649"/>
    <mergeCell ref="D647:D649"/>
    <mergeCell ref="E647:E649"/>
    <mergeCell ref="F647:F649"/>
    <mergeCell ref="G647:G649"/>
    <mergeCell ref="H650:H652"/>
    <mergeCell ref="I650:J652"/>
    <mergeCell ref="A650:A652"/>
    <mergeCell ref="B650:B652"/>
    <mergeCell ref="C650:C652"/>
    <mergeCell ref="D650:D652"/>
    <mergeCell ref="E650:E652"/>
    <mergeCell ref="F650:F652"/>
    <mergeCell ref="G650:G652"/>
    <mergeCell ref="H653:H655"/>
    <mergeCell ref="I653:I655"/>
    <mergeCell ref="J653:J655"/>
    <mergeCell ref="A653:A655"/>
    <mergeCell ref="B653:B655"/>
    <mergeCell ref="C653:C655"/>
    <mergeCell ref="D653:D655"/>
    <mergeCell ref="E653:E655"/>
    <mergeCell ref="F653:F655"/>
    <mergeCell ref="G653:G655"/>
    <mergeCell ref="H656:H658"/>
    <mergeCell ref="I656:J658"/>
    <mergeCell ref="A656:A658"/>
    <mergeCell ref="B656:B658"/>
    <mergeCell ref="C656:C658"/>
    <mergeCell ref="D656:D658"/>
    <mergeCell ref="E656:E658"/>
    <mergeCell ref="F656:F658"/>
    <mergeCell ref="G656:G658"/>
    <mergeCell ref="H659:H661"/>
    <mergeCell ref="I659:J661"/>
    <mergeCell ref="A659:A661"/>
    <mergeCell ref="B659:B661"/>
    <mergeCell ref="C659:C661"/>
    <mergeCell ref="D659:D661"/>
    <mergeCell ref="E659:E661"/>
    <mergeCell ref="F659:F661"/>
    <mergeCell ref="G659:G661"/>
    <mergeCell ref="H662:H664"/>
    <mergeCell ref="I662:I664"/>
    <mergeCell ref="J662:J664"/>
    <mergeCell ref="A662:A664"/>
    <mergeCell ref="B662:B664"/>
    <mergeCell ref="C662:C664"/>
    <mergeCell ref="D662:D664"/>
    <mergeCell ref="E662:E664"/>
    <mergeCell ref="F662:F664"/>
    <mergeCell ref="G662:G664"/>
    <mergeCell ref="H665:H667"/>
    <mergeCell ref="I665:I667"/>
    <mergeCell ref="J665:J667"/>
    <mergeCell ref="A665:A667"/>
    <mergeCell ref="B665:B667"/>
    <mergeCell ref="C665:C667"/>
    <mergeCell ref="D665:D667"/>
    <mergeCell ref="E665:E667"/>
    <mergeCell ref="F665:F667"/>
    <mergeCell ref="G665:G667"/>
    <mergeCell ref="H689:H691"/>
    <mergeCell ref="I689:I691"/>
    <mergeCell ref="J689:J691"/>
    <mergeCell ref="A689:A691"/>
    <mergeCell ref="B689:B691"/>
    <mergeCell ref="C689:C691"/>
    <mergeCell ref="D689:D691"/>
    <mergeCell ref="E689:E691"/>
    <mergeCell ref="F689:F691"/>
    <mergeCell ref="G689:G691"/>
    <mergeCell ref="H692:H694"/>
    <mergeCell ref="I692:I694"/>
    <mergeCell ref="J692:J694"/>
    <mergeCell ref="A692:A694"/>
    <mergeCell ref="B692:B694"/>
    <mergeCell ref="C692:C694"/>
    <mergeCell ref="D692:D694"/>
    <mergeCell ref="E692:E694"/>
    <mergeCell ref="F692:F694"/>
    <mergeCell ref="G692:G694"/>
    <mergeCell ref="H11:H13"/>
    <mergeCell ref="I11:I13"/>
    <mergeCell ref="J11:J13"/>
    <mergeCell ref="A11:A13"/>
    <mergeCell ref="B11:B13"/>
    <mergeCell ref="C11:C13"/>
    <mergeCell ref="D11:D13"/>
    <mergeCell ref="E11:E13"/>
    <mergeCell ref="F11:F13"/>
    <mergeCell ref="G11:G13"/>
    <mergeCell ref="H14:H16"/>
    <mergeCell ref="I14:I16"/>
    <mergeCell ref="J14:J16"/>
    <mergeCell ref="A14:A16"/>
    <mergeCell ref="B14:B16"/>
    <mergeCell ref="C14:C16"/>
    <mergeCell ref="D14:D16"/>
    <mergeCell ref="E14:E16"/>
    <mergeCell ref="F14:F16"/>
    <mergeCell ref="G14:G16"/>
    <mergeCell ref="H17:H19"/>
    <mergeCell ref="I17:I19"/>
    <mergeCell ref="J17:J19"/>
    <mergeCell ref="A17:A19"/>
    <mergeCell ref="B17:B19"/>
    <mergeCell ref="C17:C19"/>
    <mergeCell ref="D17:D19"/>
    <mergeCell ref="E17:E19"/>
    <mergeCell ref="F17:F19"/>
    <mergeCell ref="G17:G19"/>
    <mergeCell ref="H695:H697"/>
    <mergeCell ref="I695:I697"/>
    <mergeCell ref="J695:J697"/>
    <mergeCell ref="A695:A697"/>
    <mergeCell ref="B695:B697"/>
    <mergeCell ref="C695:C697"/>
    <mergeCell ref="D695:D697"/>
    <mergeCell ref="E695:E697"/>
    <mergeCell ref="F695:F697"/>
    <mergeCell ref="G695:G697"/>
    <mergeCell ref="H668:H670"/>
    <mergeCell ref="I668:I670"/>
    <mergeCell ref="J668:J670"/>
    <mergeCell ref="A668:A670"/>
    <mergeCell ref="B668:B670"/>
    <mergeCell ref="C668:C670"/>
    <mergeCell ref="D668:D670"/>
    <mergeCell ref="E668:E670"/>
    <mergeCell ref="F668:F670"/>
    <mergeCell ref="G668:G670"/>
    <mergeCell ref="H671:H673"/>
    <mergeCell ref="I671:I673"/>
    <mergeCell ref="J671:J673"/>
    <mergeCell ref="A671:A673"/>
    <mergeCell ref="B671:B673"/>
    <mergeCell ref="C671:C673"/>
    <mergeCell ref="D671:D673"/>
    <mergeCell ref="E671:E673"/>
    <mergeCell ref="F671:F673"/>
    <mergeCell ref="G671:G673"/>
    <mergeCell ref="H674:H676"/>
    <mergeCell ref="I674:I676"/>
    <mergeCell ref="J674:J676"/>
    <mergeCell ref="A674:A676"/>
    <mergeCell ref="B674:B676"/>
    <mergeCell ref="C674:C676"/>
    <mergeCell ref="D674:D676"/>
    <mergeCell ref="E674:E676"/>
    <mergeCell ref="F674:F676"/>
    <mergeCell ref="G674:G676"/>
    <mergeCell ref="H677:H679"/>
    <mergeCell ref="I677:I679"/>
    <mergeCell ref="J677:J679"/>
    <mergeCell ref="A677:A679"/>
    <mergeCell ref="B677:B679"/>
    <mergeCell ref="C677:C679"/>
    <mergeCell ref="D677:D679"/>
    <mergeCell ref="E677:E679"/>
    <mergeCell ref="F677:F679"/>
    <mergeCell ref="G677:G679"/>
    <mergeCell ref="H680:H682"/>
    <mergeCell ref="I680:I682"/>
    <mergeCell ref="J680:J682"/>
    <mergeCell ref="A680:A682"/>
    <mergeCell ref="B680:B682"/>
    <mergeCell ref="C680:C682"/>
    <mergeCell ref="D680:D682"/>
    <mergeCell ref="E680:E682"/>
    <mergeCell ref="F680:F682"/>
    <mergeCell ref="G680:G682"/>
    <mergeCell ref="H683:H685"/>
    <mergeCell ref="I683:I685"/>
    <mergeCell ref="J683:J685"/>
    <mergeCell ref="A683:A685"/>
    <mergeCell ref="B683:B685"/>
    <mergeCell ref="C683:C685"/>
    <mergeCell ref="D683:D685"/>
    <mergeCell ref="E683:E685"/>
    <mergeCell ref="F683:F685"/>
    <mergeCell ref="G683:G685"/>
    <mergeCell ref="H686:H688"/>
    <mergeCell ref="I686:I688"/>
    <mergeCell ref="J686:J688"/>
    <mergeCell ref="A686:A688"/>
    <mergeCell ref="B686:B688"/>
    <mergeCell ref="C686:C688"/>
    <mergeCell ref="D686:D688"/>
    <mergeCell ref="E686:E688"/>
    <mergeCell ref="F686:F688"/>
    <mergeCell ref="G686:G688"/>
    <mergeCell ref="H500:H502"/>
    <mergeCell ref="I500:J502"/>
    <mergeCell ref="A500:A502"/>
    <mergeCell ref="B500:B502"/>
    <mergeCell ref="C500:C502"/>
    <mergeCell ref="D500:D502"/>
    <mergeCell ref="E500:E502"/>
    <mergeCell ref="F500:F502"/>
    <mergeCell ref="G500:G502"/>
    <mergeCell ref="H503:H505"/>
    <mergeCell ref="I503:J505"/>
    <mergeCell ref="A503:A505"/>
    <mergeCell ref="B503:B505"/>
    <mergeCell ref="C503:C505"/>
    <mergeCell ref="D503:D505"/>
    <mergeCell ref="E503:E505"/>
    <mergeCell ref="F503:F505"/>
    <mergeCell ref="G503:G505"/>
    <mergeCell ref="H506:H508"/>
    <mergeCell ref="I506:J508"/>
    <mergeCell ref="A506:A508"/>
    <mergeCell ref="B506:B508"/>
    <mergeCell ref="C506:C508"/>
    <mergeCell ref="D506:D508"/>
    <mergeCell ref="E506:E508"/>
    <mergeCell ref="F506:F508"/>
    <mergeCell ref="G506:G508"/>
    <mergeCell ref="H509:H511"/>
    <mergeCell ref="I509:J511"/>
    <mergeCell ref="A509:A511"/>
    <mergeCell ref="B509:B511"/>
    <mergeCell ref="C509:C511"/>
    <mergeCell ref="D509:D511"/>
    <mergeCell ref="E509:E511"/>
    <mergeCell ref="F509:F511"/>
    <mergeCell ref="G509:G511"/>
    <mergeCell ref="H512:H514"/>
    <mergeCell ref="I512:J514"/>
    <mergeCell ref="A512:A514"/>
    <mergeCell ref="B512:B514"/>
    <mergeCell ref="C512:C514"/>
    <mergeCell ref="D512:D514"/>
    <mergeCell ref="E512:E514"/>
    <mergeCell ref="F512:F514"/>
    <mergeCell ref="G512:G514"/>
    <mergeCell ref="H515:H517"/>
    <mergeCell ref="I515:J517"/>
    <mergeCell ref="A515:A517"/>
    <mergeCell ref="B515:B517"/>
    <mergeCell ref="C515:C517"/>
    <mergeCell ref="D515:D517"/>
    <mergeCell ref="E515:E517"/>
    <mergeCell ref="F515:F517"/>
    <mergeCell ref="G515:G517"/>
    <mergeCell ref="H518:H520"/>
    <mergeCell ref="I518:J520"/>
    <mergeCell ref="A518:A520"/>
    <mergeCell ref="B518:B520"/>
    <mergeCell ref="C518:C520"/>
    <mergeCell ref="D518:D520"/>
    <mergeCell ref="E518:E520"/>
    <mergeCell ref="F518:F520"/>
    <mergeCell ref="G518:G520"/>
    <mergeCell ref="H521:H523"/>
    <mergeCell ref="I521:J523"/>
    <mergeCell ref="A521:A523"/>
    <mergeCell ref="B521:B523"/>
    <mergeCell ref="C521:C523"/>
    <mergeCell ref="D521:D523"/>
    <mergeCell ref="E521:E523"/>
    <mergeCell ref="F521:F523"/>
    <mergeCell ref="G521:G523"/>
    <mergeCell ref="H524:H526"/>
    <mergeCell ref="I524:J526"/>
    <mergeCell ref="A524:A526"/>
    <mergeCell ref="B524:B526"/>
    <mergeCell ref="C524:C526"/>
    <mergeCell ref="D524:D526"/>
    <mergeCell ref="E524:E526"/>
    <mergeCell ref="F524:F526"/>
    <mergeCell ref="G524:G526"/>
    <mergeCell ref="H527:H529"/>
    <mergeCell ref="I527:J529"/>
    <mergeCell ref="A527:A529"/>
    <mergeCell ref="B527:B529"/>
    <mergeCell ref="C527:C529"/>
    <mergeCell ref="D527:D529"/>
    <mergeCell ref="E527:E529"/>
    <mergeCell ref="F527:F529"/>
    <mergeCell ref="G527:G529"/>
    <mergeCell ref="H530:H532"/>
    <mergeCell ref="I530:J532"/>
    <mergeCell ref="A530:A532"/>
    <mergeCell ref="B530:B532"/>
    <mergeCell ref="C530:C532"/>
    <mergeCell ref="D530:D532"/>
    <mergeCell ref="E530:E532"/>
    <mergeCell ref="F530:F532"/>
    <mergeCell ref="G530:G532"/>
    <mergeCell ref="H533:H535"/>
    <mergeCell ref="I533:J535"/>
    <mergeCell ref="A533:A535"/>
    <mergeCell ref="B533:B535"/>
    <mergeCell ref="C533:C535"/>
    <mergeCell ref="D533:D535"/>
    <mergeCell ref="E533:E535"/>
    <mergeCell ref="F533:F535"/>
    <mergeCell ref="G533:G535"/>
    <mergeCell ref="H536:H538"/>
    <mergeCell ref="I536:J538"/>
    <mergeCell ref="A536:A538"/>
    <mergeCell ref="B536:B538"/>
    <mergeCell ref="C536:C538"/>
    <mergeCell ref="D536:D538"/>
    <mergeCell ref="E536:E538"/>
    <mergeCell ref="F536:F538"/>
    <mergeCell ref="G536:G538"/>
    <mergeCell ref="H539:H541"/>
    <mergeCell ref="I539:J541"/>
    <mergeCell ref="A539:A541"/>
    <mergeCell ref="B539:B541"/>
    <mergeCell ref="C539:C541"/>
    <mergeCell ref="D539:D541"/>
    <mergeCell ref="E539:E541"/>
    <mergeCell ref="F539:F541"/>
    <mergeCell ref="G539:G541"/>
    <mergeCell ref="H542:H544"/>
    <mergeCell ref="I542:J544"/>
    <mergeCell ref="A542:A544"/>
    <mergeCell ref="B542:B544"/>
    <mergeCell ref="C542:C544"/>
    <mergeCell ref="D542:D544"/>
    <mergeCell ref="E542:E544"/>
    <mergeCell ref="F542:F544"/>
    <mergeCell ref="G542:G544"/>
    <mergeCell ref="H545:H547"/>
    <mergeCell ref="I545:I547"/>
    <mergeCell ref="J545:J547"/>
    <mergeCell ref="A545:A547"/>
    <mergeCell ref="B545:B547"/>
    <mergeCell ref="C545:C547"/>
    <mergeCell ref="D545:D547"/>
    <mergeCell ref="E545:E547"/>
    <mergeCell ref="F545:F547"/>
    <mergeCell ref="G545:G547"/>
    <mergeCell ref="H548:H550"/>
    <mergeCell ref="I548:J550"/>
    <mergeCell ref="A548:A550"/>
    <mergeCell ref="B548:B550"/>
    <mergeCell ref="C548:C550"/>
    <mergeCell ref="D548:D550"/>
    <mergeCell ref="E548:E550"/>
    <mergeCell ref="F548:F550"/>
    <mergeCell ref="G548:G550"/>
    <mergeCell ref="H551:H553"/>
    <mergeCell ref="I551:I553"/>
    <mergeCell ref="J551:J553"/>
    <mergeCell ref="A551:A553"/>
    <mergeCell ref="B551:B553"/>
    <mergeCell ref="C551:C553"/>
    <mergeCell ref="D551:D553"/>
    <mergeCell ref="E551:E553"/>
    <mergeCell ref="F551:F553"/>
    <mergeCell ref="G551:G553"/>
    <mergeCell ref="H554:H556"/>
    <mergeCell ref="I554:J556"/>
    <mergeCell ref="A554:A556"/>
    <mergeCell ref="B554:B556"/>
    <mergeCell ref="C554:C556"/>
    <mergeCell ref="D554:D556"/>
    <mergeCell ref="E554:E556"/>
    <mergeCell ref="F554:F556"/>
    <mergeCell ref="G554:G556"/>
    <mergeCell ref="H557:H559"/>
    <mergeCell ref="I557:I559"/>
    <mergeCell ref="J557:J559"/>
    <mergeCell ref="A557:A559"/>
    <mergeCell ref="B557:B559"/>
    <mergeCell ref="C557:C559"/>
    <mergeCell ref="D557:D559"/>
    <mergeCell ref="E557:E559"/>
    <mergeCell ref="F557:F559"/>
    <mergeCell ref="G557:G559"/>
    <mergeCell ref="H560:H562"/>
    <mergeCell ref="I560:J562"/>
    <mergeCell ref="A560:A562"/>
    <mergeCell ref="B560:B562"/>
    <mergeCell ref="C560:C562"/>
    <mergeCell ref="D560:D562"/>
    <mergeCell ref="E560:E562"/>
    <mergeCell ref="F560:F562"/>
    <mergeCell ref="G560:G562"/>
    <mergeCell ref="H563:H565"/>
    <mergeCell ref="I563:J565"/>
    <mergeCell ref="A563:A565"/>
    <mergeCell ref="B563:B565"/>
    <mergeCell ref="C563:C565"/>
    <mergeCell ref="D563:D565"/>
    <mergeCell ref="E563:E565"/>
    <mergeCell ref="F563:F565"/>
    <mergeCell ref="G563:G565"/>
    <mergeCell ref="H566:H568"/>
    <mergeCell ref="I566:J568"/>
    <mergeCell ref="A566:A568"/>
    <mergeCell ref="B566:B568"/>
    <mergeCell ref="C566:C568"/>
    <mergeCell ref="D566:D568"/>
    <mergeCell ref="E566:E568"/>
    <mergeCell ref="F566:F568"/>
    <mergeCell ref="G566:G568"/>
    <mergeCell ref="H569:H571"/>
    <mergeCell ref="I569:J571"/>
    <mergeCell ref="A569:A571"/>
    <mergeCell ref="B569:B571"/>
    <mergeCell ref="C569:C571"/>
    <mergeCell ref="D569:D571"/>
    <mergeCell ref="E569:E571"/>
    <mergeCell ref="F569:F571"/>
    <mergeCell ref="G569:G571"/>
    <mergeCell ref="H572:H574"/>
    <mergeCell ref="I572:J574"/>
    <mergeCell ref="A572:A574"/>
    <mergeCell ref="B572:B574"/>
    <mergeCell ref="C572:C574"/>
    <mergeCell ref="D572:D574"/>
    <mergeCell ref="E572:E574"/>
    <mergeCell ref="F572:F574"/>
    <mergeCell ref="G572:G574"/>
    <mergeCell ref="H575:H577"/>
    <mergeCell ref="I575:J577"/>
    <mergeCell ref="A575:A577"/>
    <mergeCell ref="B575:B577"/>
    <mergeCell ref="C575:C577"/>
    <mergeCell ref="D575:D577"/>
    <mergeCell ref="E575:E577"/>
    <mergeCell ref="F575:F577"/>
    <mergeCell ref="G575:G577"/>
    <mergeCell ref="H578:H580"/>
    <mergeCell ref="I578:J580"/>
    <mergeCell ref="A578:A580"/>
    <mergeCell ref="B578:B580"/>
    <mergeCell ref="C578:C580"/>
    <mergeCell ref="D578:D580"/>
    <mergeCell ref="E578:E580"/>
    <mergeCell ref="F578:F580"/>
    <mergeCell ref="G578:G580"/>
    <mergeCell ref="H581:H583"/>
    <mergeCell ref="I581:J583"/>
    <mergeCell ref="A581:A583"/>
    <mergeCell ref="B581:B583"/>
    <mergeCell ref="C581:C583"/>
    <mergeCell ref="D581:D583"/>
    <mergeCell ref="E581:E583"/>
    <mergeCell ref="F581:F583"/>
    <mergeCell ref="G581:G583"/>
    <mergeCell ref="H584:H586"/>
    <mergeCell ref="I584:J586"/>
    <mergeCell ref="A584:A586"/>
    <mergeCell ref="B584:B586"/>
    <mergeCell ref="C584:C586"/>
    <mergeCell ref="D584:D586"/>
    <mergeCell ref="E584:E586"/>
    <mergeCell ref="F584:F586"/>
    <mergeCell ref="G584:G586"/>
    <mergeCell ref="H587:H589"/>
    <mergeCell ref="I587:I589"/>
    <mergeCell ref="J587:J589"/>
    <mergeCell ref="A587:A589"/>
    <mergeCell ref="B587:B589"/>
    <mergeCell ref="C587:C589"/>
    <mergeCell ref="D587:D589"/>
    <mergeCell ref="E587:E589"/>
    <mergeCell ref="F587:F589"/>
    <mergeCell ref="G587:G589"/>
    <mergeCell ref="H590:H592"/>
    <mergeCell ref="I590:I592"/>
    <mergeCell ref="J590:J592"/>
    <mergeCell ref="A590:A592"/>
    <mergeCell ref="B590:B592"/>
    <mergeCell ref="C590:C592"/>
    <mergeCell ref="D590:D592"/>
    <mergeCell ref="E590:E592"/>
    <mergeCell ref="F590:F592"/>
    <mergeCell ref="G590:G592"/>
    <mergeCell ref="H593:H595"/>
    <mergeCell ref="I593:I595"/>
    <mergeCell ref="J593:J595"/>
    <mergeCell ref="A593:A595"/>
    <mergeCell ref="B593:B595"/>
    <mergeCell ref="C593:C595"/>
    <mergeCell ref="D593:D595"/>
    <mergeCell ref="E593:E595"/>
    <mergeCell ref="F593:F595"/>
    <mergeCell ref="G593:G595"/>
    <mergeCell ref="H596:H598"/>
    <mergeCell ref="I596:I598"/>
    <mergeCell ref="J596:J598"/>
    <mergeCell ref="A596:A598"/>
    <mergeCell ref="B596:B598"/>
    <mergeCell ref="C596:C598"/>
    <mergeCell ref="D596:D598"/>
    <mergeCell ref="E596:E598"/>
    <mergeCell ref="F596:F598"/>
    <mergeCell ref="G596:G598"/>
    <mergeCell ref="H599:H601"/>
    <mergeCell ref="I599:I601"/>
    <mergeCell ref="J599:J601"/>
    <mergeCell ref="A599:A601"/>
    <mergeCell ref="B599:B601"/>
    <mergeCell ref="C599:C601"/>
    <mergeCell ref="D599:D601"/>
    <mergeCell ref="E599:E601"/>
    <mergeCell ref="F599:F601"/>
    <mergeCell ref="G599:G601"/>
    <mergeCell ref="H602:H604"/>
    <mergeCell ref="I602:I604"/>
    <mergeCell ref="J602:J604"/>
    <mergeCell ref="A602:A604"/>
    <mergeCell ref="B602:B604"/>
    <mergeCell ref="C602:C604"/>
    <mergeCell ref="D602:D604"/>
    <mergeCell ref="E602:E604"/>
    <mergeCell ref="F602:F604"/>
    <mergeCell ref="G602:G604"/>
    <mergeCell ref="H605:H607"/>
    <mergeCell ref="I605:I607"/>
    <mergeCell ref="J605:J607"/>
    <mergeCell ref="A605:A607"/>
    <mergeCell ref="B605:B607"/>
    <mergeCell ref="C605:C607"/>
    <mergeCell ref="D605:D607"/>
    <mergeCell ref="E605:E607"/>
    <mergeCell ref="F605:F607"/>
    <mergeCell ref="G605:G607"/>
    <mergeCell ref="H608:H610"/>
    <mergeCell ref="I608:I610"/>
    <mergeCell ref="J608:J610"/>
    <mergeCell ref="A608:A610"/>
    <mergeCell ref="B608:B610"/>
    <mergeCell ref="C608:C610"/>
    <mergeCell ref="D608:D610"/>
    <mergeCell ref="E608:E610"/>
    <mergeCell ref="F608:F610"/>
    <mergeCell ref="G608:G610"/>
    <mergeCell ref="H611:H613"/>
    <mergeCell ref="I611:I613"/>
    <mergeCell ref="J611:J613"/>
    <mergeCell ref="A611:A613"/>
    <mergeCell ref="B611:B613"/>
    <mergeCell ref="C611:C613"/>
    <mergeCell ref="D611:D613"/>
    <mergeCell ref="E611:E613"/>
    <mergeCell ref="F611:F613"/>
    <mergeCell ref="G611:G613"/>
    <mergeCell ref="H614:H616"/>
    <mergeCell ref="I614:I616"/>
    <mergeCell ref="J614:J616"/>
    <mergeCell ref="A614:A616"/>
    <mergeCell ref="B614:B616"/>
    <mergeCell ref="C614:C616"/>
    <mergeCell ref="D614:D616"/>
    <mergeCell ref="E614:E616"/>
    <mergeCell ref="F614:F616"/>
    <mergeCell ref="G614:G616"/>
    <mergeCell ref="H617:H619"/>
    <mergeCell ref="I617:I619"/>
    <mergeCell ref="J617:J619"/>
    <mergeCell ref="A617:A619"/>
    <mergeCell ref="B617:B619"/>
    <mergeCell ref="C617:C619"/>
    <mergeCell ref="D617:D619"/>
    <mergeCell ref="E617:E619"/>
    <mergeCell ref="F617:F619"/>
    <mergeCell ref="G617:G619"/>
    <mergeCell ref="H620:H622"/>
    <mergeCell ref="I620:I622"/>
    <mergeCell ref="J620:J622"/>
    <mergeCell ref="A620:A622"/>
    <mergeCell ref="B620:B622"/>
    <mergeCell ref="C620:C622"/>
    <mergeCell ref="D620:D622"/>
    <mergeCell ref="E620:E622"/>
    <mergeCell ref="F620:F622"/>
    <mergeCell ref="G620:G622"/>
    <mergeCell ref="H623:H625"/>
    <mergeCell ref="I623:I625"/>
    <mergeCell ref="J623:J625"/>
    <mergeCell ref="A623:A625"/>
    <mergeCell ref="B623:B625"/>
    <mergeCell ref="C623:C625"/>
    <mergeCell ref="D623:D625"/>
    <mergeCell ref="E623:E625"/>
    <mergeCell ref="F623:F625"/>
    <mergeCell ref="G623:G625"/>
    <mergeCell ref="H626:H628"/>
    <mergeCell ref="I626:I628"/>
    <mergeCell ref="J626:J628"/>
    <mergeCell ref="A626:A628"/>
    <mergeCell ref="B626:B628"/>
    <mergeCell ref="C626:C628"/>
    <mergeCell ref="D626:D628"/>
    <mergeCell ref="E626:E628"/>
    <mergeCell ref="F626:F628"/>
    <mergeCell ref="G626:G628"/>
    <mergeCell ref="H629:H631"/>
    <mergeCell ref="I629:J631"/>
    <mergeCell ref="A629:A631"/>
    <mergeCell ref="B629:B631"/>
    <mergeCell ref="C629:C631"/>
    <mergeCell ref="D629:D631"/>
    <mergeCell ref="E629:E631"/>
    <mergeCell ref="F629:F631"/>
    <mergeCell ref="G629:G631"/>
    <mergeCell ref="H632:H634"/>
    <mergeCell ref="I632:J634"/>
    <mergeCell ref="A632:A634"/>
    <mergeCell ref="B632:B634"/>
    <mergeCell ref="C632:C634"/>
    <mergeCell ref="D632:D634"/>
    <mergeCell ref="E632:E634"/>
    <mergeCell ref="F632:F634"/>
    <mergeCell ref="G632:G634"/>
    <mergeCell ref="H635:H637"/>
    <mergeCell ref="I635:J637"/>
    <mergeCell ref="A635:A637"/>
    <mergeCell ref="B635:B637"/>
    <mergeCell ref="C635:C637"/>
    <mergeCell ref="D635:D637"/>
    <mergeCell ref="E635:E637"/>
    <mergeCell ref="F635:F637"/>
    <mergeCell ref="G635:G637"/>
    <mergeCell ref="H638:H640"/>
    <mergeCell ref="I638:I640"/>
    <mergeCell ref="J638:J640"/>
    <mergeCell ref="A638:A640"/>
    <mergeCell ref="B638:B640"/>
    <mergeCell ref="C638:C640"/>
    <mergeCell ref="D638:D640"/>
    <mergeCell ref="E638:E640"/>
    <mergeCell ref="F638:F640"/>
    <mergeCell ref="G638:G640"/>
    <mergeCell ref="H641:H643"/>
    <mergeCell ref="I641:I643"/>
    <mergeCell ref="J641:J643"/>
    <mergeCell ref="A641:A643"/>
    <mergeCell ref="B641:B643"/>
    <mergeCell ref="C641:C643"/>
    <mergeCell ref="D641:D643"/>
    <mergeCell ref="E641:E643"/>
    <mergeCell ref="F641:F643"/>
    <mergeCell ref="G641:G643"/>
    <mergeCell ref="H644:H646"/>
    <mergeCell ref="I644:I646"/>
    <mergeCell ref="J644:J646"/>
    <mergeCell ref="A644:A646"/>
    <mergeCell ref="B644:B646"/>
    <mergeCell ref="C644:C646"/>
    <mergeCell ref="D644:D646"/>
    <mergeCell ref="E644:E646"/>
    <mergeCell ref="F644:F646"/>
    <mergeCell ref="G644:G646"/>
  </mergeCells>
  <hyperlinks>
    <hyperlink r:id="rId1" ref="J200"/>
    <hyperlink r:id="rId2" ref="B365"/>
  </hyperlinks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52" t="s">
        <v>1</v>
      </c>
      <c r="C1" s="1" t="s">
        <v>5</v>
      </c>
      <c r="D1" s="1" t="s">
        <v>6</v>
      </c>
      <c r="E1" s="1" t="s">
        <v>676</v>
      </c>
      <c r="F1" s="1" t="s">
        <v>677</v>
      </c>
      <c r="G1" s="1" t="s">
        <v>678</v>
      </c>
      <c r="H1" s="1" t="s">
        <v>3</v>
      </c>
      <c r="I1" s="3" t="s">
        <v>10</v>
      </c>
      <c r="J1" s="4"/>
    </row>
    <row r="2">
      <c r="A2" s="5">
        <v>1.0</v>
      </c>
      <c r="B2" s="30" t="s">
        <v>679</v>
      </c>
      <c r="C2" s="5" t="s">
        <v>160</v>
      </c>
      <c r="D2" s="5" t="s">
        <v>680</v>
      </c>
      <c r="E2" s="11"/>
      <c r="F2" s="5" t="s">
        <v>681</v>
      </c>
      <c r="G2" s="5">
        <v>8.5156953076E10</v>
      </c>
      <c r="H2" s="5" t="s">
        <v>682</v>
      </c>
      <c r="I2" s="7" t="s">
        <v>245</v>
      </c>
      <c r="J2" s="8">
        <v>300.0</v>
      </c>
    </row>
    <row r="3">
      <c r="A3" s="9"/>
      <c r="B3" s="31"/>
      <c r="C3" s="9"/>
      <c r="D3" s="9"/>
      <c r="E3" s="9"/>
      <c r="F3" s="9"/>
      <c r="G3" s="9"/>
      <c r="H3" s="9"/>
      <c r="I3" s="7" t="s">
        <v>468</v>
      </c>
      <c r="J3" s="8" t="s">
        <v>22</v>
      </c>
    </row>
    <row r="4">
      <c r="A4" s="10"/>
      <c r="B4" s="32"/>
      <c r="C4" s="10"/>
      <c r="D4" s="10"/>
      <c r="E4" s="10"/>
      <c r="F4" s="10"/>
      <c r="G4" s="10"/>
      <c r="H4" s="10"/>
      <c r="I4" s="7" t="s">
        <v>190</v>
      </c>
      <c r="J4" s="8" t="s">
        <v>83</v>
      </c>
    </row>
    <row r="5">
      <c r="A5" s="5">
        <v>2.0</v>
      </c>
      <c r="B5" s="30" t="s">
        <v>683</v>
      </c>
      <c r="C5" s="5" t="s">
        <v>160</v>
      </c>
      <c r="D5" s="5" t="s">
        <v>684</v>
      </c>
      <c r="E5" s="5" t="s">
        <v>685</v>
      </c>
      <c r="F5" s="5" t="s">
        <v>686</v>
      </c>
      <c r="G5" s="5">
        <v>8.218610148E10</v>
      </c>
      <c r="H5" s="5" t="s">
        <v>682</v>
      </c>
      <c r="I5" s="7" t="s">
        <v>687</v>
      </c>
      <c r="J5" s="8">
        <v>180.0</v>
      </c>
    </row>
    <row r="6">
      <c r="A6" s="9"/>
      <c r="B6" s="31"/>
      <c r="C6" s="9"/>
      <c r="D6" s="9"/>
      <c r="E6" s="9"/>
      <c r="F6" s="9"/>
      <c r="G6" s="9"/>
      <c r="H6" s="9"/>
      <c r="I6" s="7" t="s">
        <v>688</v>
      </c>
      <c r="J6" s="8">
        <v>360.0</v>
      </c>
    </row>
    <row r="7">
      <c r="A7" s="10"/>
      <c r="B7" s="32"/>
      <c r="C7" s="10"/>
      <c r="D7" s="10"/>
      <c r="E7" s="10"/>
      <c r="F7" s="10"/>
      <c r="G7" s="10"/>
      <c r="H7" s="10"/>
      <c r="I7" s="7" t="s">
        <v>189</v>
      </c>
      <c r="J7" s="8">
        <v>430.0</v>
      </c>
    </row>
    <row r="8">
      <c r="A8" s="5">
        <v>3.0</v>
      </c>
      <c r="B8" s="30" t="s">
        <v>689</v>
      </c>
      <c r="C8" s="5" t="s">
        <v>160</v>
      </c>
      <c r="D8" s="5" t="s">
        <v>690</v>
      </c>
      <c r="E8" s="5" t="s">
        <v>685</v>
      </c>
      <c r="F8" s="5" t="s">
        <v>686</v>
      </c>
      <c r="G8" s="5">
        <v>8.218610148E10</v>
      </c>
      <c r="H8" s="5" t="s">
        <v>682</v>
      </c>
      <c r="I8" s="7" t="s">
        <v>687</v>
      </c>
      <c r="J8" s="8">
        <v>150.0</v>
      </c>
    </row>
    <row r="9">
      <c r="A9" s="9"/>
      <c r="B9" s="31"/>
      <c r="C9" s="9"/>
      <c r="D9" s="9"/>
      <c r="E9" s="9"/>
      <c r="F9" s="9"/>
      <c r="G9" s="9"/>
      <c r="H9" s="9"/>
      <c r="I9" s="7" t="s">
        <v>688</v>
      </c>
      <c r="J9" s="8">
        <v>340.0</v>
      </c>
    </row>
    <row r="10">
      <c r="A10" s="10"/>
      <c r="B10" s="32"/>
      <c r="C10" s="10"/>
      <c r="D10" s="10"/>
      <c r="E10" s="10"/>
      <c r="F10" s="10"/>
      <c r="G10" s="10"/>
      <c r="H10" s="10"/>
      <c r="I10" s="7" t="s">
        <v>189</v>
      </c>
      <c r="J10" s="8">
        <v>390.0</v>
      </c>
    </row>
    <row r="11">
      <c r="A11" s="5">
        <v>4.0</v>
      </c>
      <c r="B11" s="30" t="s">
        <v>691</v>
      </c>
      <c r="C11" s="5" t="s">
        <v>160</v>
      </c>
      <c r="D11" s="5" t="s">
        <v>692</v>
      </c>
      <c r="E11" s="5" t="s">
        <v>685</v>
      </c>
      <c r="F11" s="5" t="s">
        <v>105</v>
      </c>
      <c r="G11" s="5">
        <v>8.1328616092E10</v>
      </c>
      <c r="H11" s="5" t="s">
        <v>682</v>
      </c>
      <c r="I11" s="7" t="s">
        <v>190</v>
      </c>
      <c r="J11" s="8" t="s">
        <v>106</v>
      </c>
    </row>
    <row r="12">
      <c r="A12" s="9"/>
      <c r="B12" s="31"/>
      <c r="C12" s="9"/>
      <c r="D12" s="9"/>
      <c r="E12" s="9"/>
      <c r="F12" s="9"/>
      <c r="G12" s="9"/>
      <c r="H12" s="9"/>
      <c r="I12" s="7" t="s">
        <v>468</v>
      </c>
      <c r="J12" s="8" t="s">
        <v>39</v>
      </c>
    </row>
    <row r="13">
      <c r="A13" s="10"/>
      <c r="B13" s="32"/>
      <c r="C13" s="10"/>
      <c r="D13" s="10"/>
      <c r="E13" s="10"/>
      <c r="F13" s="10"/>
      <c r="G13" s="10"/>
      <c r="H13" s="10"/>
      <c r="I13" s="7" t="s">
        <v>693</v>
      </c>
      <c r="J13" s="8" t="s">
        <v>84</v>
      </c>
    </row>
    <row r="14">
      <c r="A14" s="5">
        <v>5.0</v>
      </c>
      <c r="B14" s="30" t="s">
        <v>694</v>
      </c>
      <c r="C14" s="5" t="s">
        <v>160</v>
      </c>
      <c r="D14" s="5" t="s">
        <v>115</v>
      </c>
      <c r="E14" s="5" t="s">
        <v>685</v>
      </c>
      <c r="F14" s="5" t="s">
        <v>105</v>
      </c>
      <c r="G14" s="5">
        <v>8.1328616092E10</v>
      </c>
      <c r="H14" s="5" t="s">
        <v>682</v>
      </c>
      <c r="I14" s="7" t="s">
        <v>190</v>
      </c>
      <c r="J14" s="8" t="s">
        <v>133</v>
      </c>
    </row>
    <row r="15">
      <c r="A15" s="9"/>
      <c r="B15" s="31"/>
      <c r="C15" s="9"/>
      <c r="D15" s="9"/>
      <c r="E15" s="9"/>
      <c r="F15" s="9"/>
      <c r="G15" s="9"/>
      <c r="H15" s="9"/>
      <c r="I15" s="7" t="s">
        <v>468</v>
      </c>
      <c r="J15" s="8" t="s">
        <v>72</v>
      </c>
    </row>
    <row r="16">
      <c r="A16" s="10"/>
      <c r="B16" s="32"/>
      <c r="C16" s="10"/>
      <c r="D16" s="10"/>
      <c r="E16" s="10"/>
      <c r="F16" s="10"/>
      <c r="G16" s="10"/>
      <c r="H16" s="10"/>
      <c r="I16" s="7" t="s">
        <v>693</v>
      </c>
      <c r="J16" s="8" t="s">
        <v>65</v>
      </c>
    </row>
    <row r="17">
      <c r="A17" s="5">
        <v>6.0</v>
      </c>
      <c r="B17" s="30" t="s">
        <v>695</v>
      </c>
      <c r="C17" s="5" t="s">
        <v>160</v>
      </c>
      <c r="D17" s="5" t="s">
        <v>696</v>
      </c>
      <c r="E17" s="5" t="s">
        <v>697</v>
      </c>
      <c r="F17" s="5" t="s">
        <v>105</v>
      </c>
      <c r="G17" s="5">
        <v>8.138830887E10</v>
      </c>
      <c r="H17" s="5" t="s">
        <v>682</v>
      </c>
      <c r="I17" s="7" t="s">
        <v>190</v>
      </c>
      <c r="J17" s="8" t="s">
        <v>72</v>
      </c>
    </row>
    <row r="18">
      <c r="A18" s="9"/>
      <c r="B18" s="31"/>
      <c r="C18" s="9"/>
      <c r="D18" s="9"/>
      <c r="E18" s="9"/>
      <c r="F18" s="9"/>
      <c r="G18" s="9"/>
      <c r="H18" s="9"/>
      <c r="I18" s="7" t="s">
        <v>468</v>
      </c>
      <c r="J18" s="8" t="s">
        <v>210</v>
      </c>
    </row>
    <row r="19">
      <c r="A19" s="10"/>
      <c r="B19" s="32"/>
      <c r="C19" s="10"/>
      <c r="D19" s="10"/>
      <c r="E19" s="10"/>
      <c r="F19" s="10"/>
      <c r="G19" s="10"/>
      <c r="H19" s="10"/>
      <c r="I19" s="7" t="s">
        <v>245</v>
      </c>
      <c r="J19" s="8" t="s">
        <v>22</v>
      </c>
    </row>
    <row r="20">
      <c r="A20" s="5">
        <v>7.0</v>
      </c>
      <c r="B20" s="30" t="s">
        <v>698</v>
      </c>
      <c r="C20" s="5" t="s">
        <v>160</v>
      </c>
      <c r="D20" s="5" t="s">
        <v>699</v>
      </c>
      <c r="E20" s="5" t="s">
        <v>697</v>
      </c>
      <c r="F20" s="5" t="s">
        <v>105</v>
      </c>
      <c r="G20" s="5">
        <v>8.138830887E10</v>
      </c>
      <c r="H20" s="5" t="s">
        <v>682</v>
      </c>
      <c r="I20" s="7" t="s">
        <v>190</v>
      </c>
      <c r="J20" s="8" t="s">
        <v>133</v>
      </c>
    </row>
    <row r="21">
      <c r="A21" s="9"/>
      <c r="B21" s="31"/>
      <c r="C21" s="9"/>
      <c r="D21" s="9"/>
      <c r="E21" s="9"/>
      <c r="F21" s="9"/>
      <c r="G21" s="9"/>
      <c r="H21" s="9"/>
      <c r="I21" s="7" t="s">
        <v>468</v>
      </c>
      <c r="J21" s="8" t="s">
        <v>143</v>
      </c>
    </row>
    <row r="22">
      <c r="A22" s="10"/>
      <c r="B22" s="32"/>
      <c r="C22" s="10"/>
      <c r="D22" s="10"/>
      <c r="E22" s="10"/>
      <c r="F22" s="10"/>
      <c r="G22" s="10"/>
      <c r="H22" s="10"/>
      <c r="I22" s="7" t="s">
        <v>245</v>
      </c>
      <c r="J22" s="8" t="s">
        <v>83</v>
      </c>
    </row>
    <row r="23">
      <c r="A23" s="5">
        <v>8.0</v>
      </c>
      <c r="B23" s="30" t="s">
        <v>700</v>
      </c>
      <c r="C23" s="5" t="s">
        <v>160</v>
      </c>
      <c r="D23" s="5" t="s">
        <v>701</v>
      </c>
      <c r="E23" s="5" t="s">
        <v>697</v>
      </c>
      <c r="F23" s="5" t="s">
        <v>105</v>
      </c>
      <c r="G23" s="5">
        <v>8.138830887E10</v>
      </c>
      <c r="H23" s="5" t="s">
        <v>682</v>
      </c>
      <c r="I23" s="7" t="s">
        <v>190</v>
      </c>
      <c r="J23" s="8">
        <v>600.0</v>
      </c>
    </row>
    <row r="24">
      <c r="A24" s="9"/>
      <c r="B24" s="31"/>
      <c r="C24" s="9"/>
      <c r="D24" s="9"/>
      <c r="E24" s="9"/>
      <c r="F24" s="9"/>
      <c r="G24" s="9"/>
      <c r="H24" s="9"/>
      <c r="I24" s="7" t="s">
        <v>468</v>
      </c>
      <c r="J24" s="8">
        <v>600.0</v>
      </c>
    </row>
    <row r="25">
      <c r="A25" s="10"/>
      <c r="B25" s="32"/>
      <c r="C25" s="10"/>
      <c r="D25" s="10"/>
      <c r="E25" s="10"/>
      <c r="F25" s="10"/>
      <c r="G25" s="10"/>
      <c r="H25" s="10"/>
      <c r="I25" s="7" t="s">
        <v>245</v>
      </c>
      <c r="J25" s="8">
        <v>400.0</v>
      </c>
    </row>
    <row r="26">
      <c r="A26" s="5">
        <v>9.0</v>
      </c>
      <c r="B26" s="30" t="s">
        <v>702</v>
      </c>
      <c r="C26" s="5" t="s">
        <v>160</v>
      </c>
      <c r="D26" s="5" t="s">
        <v>703</v>
      </c>
      <c r="E26" s="5" t="s">
        <v>704</v>
      </c>
      <c r="F26" s="5" t="s">
        <v>105</v>
      </c>
      <c r="G26" s="5">
        <v>8.138830887E10</v>
      </c>
      <c r="H26" s="5" t="s">
        <v>682</v>
      </c>
      <c r="I26" s="7" t="s">
        <v>190</v>
      </c>
      <c r="J26" s="8">
        <v>300.0</v>
      </c>
    </row>
    <row r="27">
      <c r="A27" s="9"/>
      <c r="B27" s="31"/>
      <c r="C27" s="9"/>
      <c r="D27" s="9"/>
      <c r="E27" s="9"/>
      <c r="F27" s="9"/>
      <c r="G27" s="9"/>
      <c r="H27" s="9"/>
      <c r="I27" s="7" t="s">
        <v>468</v>
      </c>
      <c r="J27" s="8">
        <v>400.0</v>
      </c>
    </row>
    <row r="28">
      <c r="A28" s="10"/>
      <c r="B28" s="32"/>
      <c r="C28" s="10"/>
      <c r="D28" s="10"/>
      <c r="E28" s="10"/>
      <c r="F28" s="10"/>
      <c r="G28" s="10"/>
      <c r="H28" s="10"/>
      <c r="I28" s="7" t="s">
        <v>245</v>
      </c>
      <c r="J28" s="8">
        <v>200.0</v>
      </c>
    </row>
    <row r="29">
      <c r="A29" s="5">
        <v>10.0</v>
      </c>
      <c r="B29" s="53" t="s">
        <v>705</v>
      </c>
      <c r="C29" s="5" t="s">
        <v>160</v>
      </c>
      <c r="D29" s="5" t="s">
        <v>458</v>
      </c>
      <c r="E29" s="5" t="s">
        <v>704</v>
      </c>
      <c r="F29" s="5" t="s">
        <v>706</v>
      </c>
      <c r="G29" s="5">
        <v>8.5892487894E10</v>
      </c>
      <c r="H29" s="5" t="s">
        <v>682</v>
      </c>
      <c r="I29" s="7" t="s">
        <v>190</v>
      </c>
      <c r="J29" s="8">
        <v>700.0</v>
      </c>
    </row>
    <row r="30">
      <c r="A30" s="9"/>
      <c r="B30" s="31"/>
      <c r="C30" s="9"/>
      <c r="D30" s="9"/>
      <c r="E30" s="9"/>
      <c r="F30" s="9"/>
      <c r="G30" s="9"/>
      <c r="H30" s="9"/>
      <c r="I30" s="7" t="s">
        <v>468</v>
      </c>
      <c r="J30" s="8">
        <v>700.0</v>
      </c>
    </row>
    <row r="31">
      <c r="A31" s="10"/>
      <c r="B31" s="32"/>
      <c r="C31" s="10"/>
      <c r="D31" s="10"/>
      <c r="E31" s="10"/>
      <c r="F31" s="9"/>
      <c r="G31" s="9"/>
      <c r="H31" s="10"/>
      <c r="I31" s="7" t="s">
        <v>245</v>
      </c>
      <c r="J31" s="8">
        <v>400.0</v>
      </c>
    </row>
    <row r="32">
      <c r="A32" s="5">
        <v>11.0</v>
      </c>
      <c r="B32" s="30" t="s">
        <v>707</v>
      </c>
      <c r="C32" s="5" t="s">
        <v>160</v>
      </c>
      <c r="D32" s="5" t="s">
        <v>708</v>
      </c>
      <c r="E32" s="5" t="s">
        <v>704</v>
      </c>
      <c r="F32" s="5" t="s">
        <v>706</v>
      </c>
      <c r="G32" s="5">
        <v>8.5892487894E10</v>
      </c>
      <c r="H32" s="5" t="s">
        <v>682</v>
      </c>
      <c r="I32" s="7" t="s">
        <v>190</v>
      </c>
      <c r="J32" s="8">
        <v>400.0</v>
      </c>
    </row>
    <row r="33">
      <c r="A33" s="9"/>
      <c r="B33" s="31"/>
      <c r="C33" s="9"/>
      <c r="D33" s="9"/>
      <c r="E33" s="9"/>
      <c r="F33" s="9"/>
      <c r="G33" s="9"/>
      <c r="H33" s="9"/>
      <c r="I33" s="7" t="s">
        <v>468</v>
      </c>
      <c r="J33" s="8">
        <v>400.0</v>
      </c>
    </row>
    <row r="34">
      <c r="A34" s="10"/>
      <c r="B34" s="32"/>
      <c r="C34" s="10"/>
      <c r="D34" s="10"/>
      <c r="E34" s="10"/>
      <c r="F34" s="9"/>
      <c r="G34" s="9"/>
      <c r="H34" s="10"/>
      <c r="I34" s="7" t="s">
        <v>245</v>
      </c>
      <c r="J34" s="8">
        <v>200.0</v>
      </c>
    </row>
    <row r="35">
      <c r="A35" s="5">
        <v>12.0</v>
      </c>
      <c r="B35" s="30" t="s">
        <v>709</v>
      </c>
      <c r="C35" s="5" t="s">
        <v>160</v>
      </c>
      <c r="D35" s="5" t="s">
        <v>220</v>
      </c>
      <c r="E35" s="5" t="s">
        <v>704</v>
      </c>
      <c r="F35" s="5" t="s">
        <v>706</v>
      </c>
      <c r="G35" s="5">
        <v>8.5892487894E10</v>
      </c>
      <c r="H35" s="5" t="s">
        <v>682</v>
      </c>
      <c r="I35" s="7" t="s">
        <v>190</v>
      </c>
      <c r="J35" s="8">
        <v>200.0</v>
      </c>
    </row>
    <row r="36">
      <c r="A36" s="9"/>
      <c r="B36" s="31"/>
      <c r="C36" s="9"/>
      <c r="D36" s="9"/>
      <c r="E36" s="9"/>
      <c r="F36" s="9"/>
      <c r="G36" s="9"/>
      <c r="H36" s="9"/>
      <c r="I36" s="7" t="s">
        <v>468</v>
      </c>
      <c r="J36" s="8">
        <v>200.0</v>
      </c>
    </row>
    <row r="37">
      <c r="A37" s="10"/>
      <c r="B37" s="32"/>
      <c r="C37" s="10"/>
      <c r="D37" s="10"/>
      <c r="E37" s="10"/>
      <c r="F37" s="9"/>
      <c r="G37" s="9"/>
      <c r="H37" s="10"/>
      <c r="I37" s="7" t="s">
        <v>245</v>
      </c>
      <c r="J37" s="7" t="s">
        <v>32</v>
      </c>
    </row>
    <row r="38">
      <c r="A38" s="5">
        <v>13.0</v>
      </c>
      <c r="B38" s="30" t="s">
        <v>710</v>
      </c>
      <c r="C38" s="5" t="s">
        <v>160</v>
      </c>
      <c r="D38" s="5" t="s">
        <v>701</v>
      </c>
      <c r="E38" s="5" t="s">
        <v>704</v>
      </c>
      <c r="F38" s="5" t="s">
        <v>706</v>
      </c>
      <c r="G38" s="5">
        <v>8.5892487894E10</v>
      </c>
      <c r="H38" s="5" t="s">
        <v>682</v>
      </c>
      <c r="I38" s="7" t="s">
        <v>190</v>
      </c>
      <c r="J38" s="8">
        <v>150.0</v>
      </c>
    </row>
    <row r="39">
      <c r="A39" s="9"/>
      <c r="B39" s="31"/>
      <c r="C39" s="9"/>
      <c r="D39" s="9"/>
      <c r="E39" s="9"/>
      <c r="F39" s="9"/>
      <c r="G39" s="9"/>
      <c r="H39" s="9"/>
      <c r="I39" s="7" t="s">
        <v>468</v>
      </c>
      <c r="J39" s="8">
        <v>150.0</v>
      </c>
    </row>
    <row r="40">
      <c r="A40" s="10"/>
      <c r="B40" s="32"/>
      <c r="C40" s="10"/>
      <c r="D40" s="10"/>
      <c r="E40" s="10"/>
      <c r="F40" s="9"/>
      <c r="G40" s="9"/>
      <c r="H40" s="10"/>
      <c r="I40" s="7" t="s">
        <v>245</v>
      </c>
      <c r="J40" s="7" t="s">
        <v>32</v>
      </c>
    </row>
    <row r="41">
      <c r="A41" s="5">
        <v>14.0</v>
      </c>
      <c r="B41" s="30" t="s">
        <v>711</v>
      </c>
      <c r="C41" s="5" t="s">
        <v>160</v>
      </c>
      <c r="D41" s="5" t="s">
        <v>712</v>
      </c>
      <c r="E41" s="5" t="s">
        <v>704</v>
      </c>
      <c r="F41" s="5" t="s">
        <v>713</v>
      </c>
      <c r="G41" s="5">
        <v>8.5376849515E10</v>
      </c>
      <c r="H41" s="5" t="s">
        <v>682</v>
      </c>
      <c r="I41" s="7" t="s">
        <v>190</v>
      </c>
      <c r="J41" s="8" t="s">
        <v>84</v>
      </c>
    </row>
    <row r="42">
      <c r="A42" s="9"/>
      <c r="B42" s="31"/>
      <c r="C42" s="9"/>
      <c r="D42" s="9"/>
      <c r="E42" s="9"/>
      <c r="F42" s="9"/>
      <c r="G42" s="9"/>
      <c r="H42" s="9"/>
      <c r="I42" s="7" t="s">
        <v>468</v>
      </c>
      <c r="J42" s="8" t="s">
        <v>84</v>
      </c>
    </row>
    <row r="43">
      <c r="A43" s="10"/>
      <c r="B43" s="32"/>
      <c r="C43" s="10"/>
      <c r="D43" s="10"/>
      <c r="E43" s="10"/>
      <c r="F43" s="9"/>
      <c r="G43" s="9"/>
      <c r="H43" s="10"/>
      <c r="I43" s="7" t="s">
        <v>245</v>
      </c>
      <c r="J43" s="8">
        <v>500.0</v>
      </c>
    </row>
    <row r="44">
      <c r="A44" s="5">
        <v>15.0</v>
      </c>
      <c r="B44" s="30" t="s">
        <v>714</v>
      </c>
      <c r="C44" s="5" t="s">
        <v>160</v>
      </c>
      <c r="D44" s="5" t="s">
        <v>540</v>
      </c>
      <c r="E44" s="5" t="s">
        <v>704</v>
      </c>
      <c r="F44" s="5" t="s">
        <v>713</v>
      </c>
      <c r="G44" s="5">
        <v>8.5376849515E10</v>
      </c>
      <c r="H44" s="5" t="s">
        <v>682</v>
      </c>
      <c r="I44" s="7" t="s">
        <v>190</v>
      </c>
      <c r="J44" s="8">
        <v>300.0</v>
      </c>
    </row>
    <row r="45">
      <c r="A45" s="9"/>
      <c r="B45" s="31"/>
      <c r="C45" s="9"/>
      <c r="D45" s="9"/>
      <c r="E45" s="9"/>
      <c r="F45" s="9"/>
      <c r="G45" s="9"/>
      <c r="H45" s="9"/>
      <c r="I45" s="7" t="s">
        <v>468</v>
      </c>
      <c r="J45" s="8">
        <v>300.0</v>
      </c>
    </row>
    <row r="46">
      <c r="A46" s="10"/>
      <c r="B46" s="32"/>
      <c r="C46" s="10"/>
      <c r="D46" s="10"/>
      <c r="E46" s="10"/>
      <c r="F46" s="9"/>
      <c r="G46" s="9"/>
      <c r="H46" s="10"/>
      <c r="I46" s="7" t="s">
        <v>245</v>
      </c>
      <c r="J46" s="8">
        <v>50.0</v>
      </c>
    </row>
    <row r="47">
      <c r="A47" s="5">
        <v>16.0</v>
      </c>
      <c r="B47" s="30" t="s">
        <v>715</v>
      </c>
      <c r="C47" s="5" t="s">
        <v>160</v>
      </c>
      <c r="D47" s="5" t="s">
        <v>64</v>
      </c>
      <c r="E47" s="5" t="s">
        <v>704</v>
      </c>
      <c r="F47" s="5" t="s">
        <v>713</v>
      </c>
      <c r="G47" s="5">
        <v>8.5376849515E10</v>
      </c>
      <c r="H47" s="5" t="s">
        <v>682</v>
      </c>
      <c r="I47" s="7" t="s">
        <v>190</v>
      </c>
      <c r="J47" s="8" t="s">
        <v>84</v>
      </c>
    </row>
    <row r="48">
      <c r="A48" s="9"/>
      <c r="B48" s="31"/>
      <c r="C48" s="9"/>
      <c r="D48" s="9"/>
      <c r="E48" s="9"/>
      <c r="F48" s="9"/>
      <c r="G48" s="9"/>
      <c r="H48" s="9"/>
      <c r="I48" s="7" t="s">
        <v>468</v>
      </c>
      <c r="J48" s="8" t="s">
        <v>84</v>
      </c>
    </row>
    <row r="49">
      <c r="A49" s="10"/>
      <c r="B49" s="32"/>
      <c r="C49" s="10"/>
      <c r="D49" s="10"/>
      <c r="E49" s="10"/>
      <c r="F49" s="9"/>
      <c r="G49" s="9"/>
      <c r="H49" s="10"/>
      <c r="I49" s="7" t="s">
        <v>245</v>
      </c>
      <c r="J49" s="8">
        <v>500.0</v>
      </c>
    </row>
    <row r="50">
      <c r="A50" s="5">
        <v>17.0</v>
      </c>
      <c r="B50" s="30" t="s">
        <v>716</v>
      </c>
      <c r="C50" s="5" t="s">
        <v>160</v>
      </c>
      <c r="D50" s="5" t="s">
        <v>717</v>
      </c>
      <c r="E50" s="5" t="s">
        <v>704</v>
      </c>
      <c r="F50" s="5" t="s">
        <v>713</v>
      </c>
      <c r="G50" s="5">
        <v>8.5376849515E10</v>
      </c>
      <c r="H50" s="5" t="s">
        <v>682</v>
      </c>
      <c r="I50" s="7" t="s">
        <v>190</v>
      </c>
      <c r="J50" s="8" t="s">
        <v>718</v>
      </c>
    </row>
    <row r="51">
      <c r="A51" s="9"/>
      <c r="B51" s="31"/>
      <c r="C51" s="9"/>
      <c r="D51" s="9"/>
      <c r="E51" s="9"/>
      <c r="F51" s="9"/>
      <c r="G51" s="9"/>
      <c r="H51" s="9"/>
      <c r="I51" s="7" t="s">
        <v>468</v>
      </c>
      <c r="J51" s="8" t="s">
        <v>130</v>
      </c>
    </row>
    <row r="52">
      <c r="A52" s="10"/>
      <c r="B52" s="32"/>
      <c r="C52" s="10"/>
      <c r="D52" s="10"/>
      <c r="E52" s="10"/>
      <c r="F52" s="9"/>
      <c r="G52" s="9"/>
      <c r="H52" s="10"/>
      <c r="I52" s="7" t="s">
        <v>245</v>
      </c>
      <c r="J52" s="8">
        <v>750.0</v>
      </c>
    </row>
    <row r="53">
      <c r="A53" s="5">
        <v>18.0</v>
      </c>
      <c r="B53" s="30" t="s">
        <v>719</v>
      </c>
      <c r="C53" s="5" t="s">
        <v>160</v>
      </c>
      <c r="D53" s="5" t="s">
        <v>720</v>
      </c>
      <c r="E53" s="5" t="s">
        <v>704</v>
      </c>
      <c r="F53" s="5" t="s">
        <v>713</v>
      </c>
      <c r="G53" s="5">
        <v>8.5376849515E10</v>
      </c>
      <c r="H53" s="5" t="s">
        <v>682</v>
      </c>
      <c r="I53" s="7" t="s">
        <v>190</v>
      </c>
      <c r="J53" s="8" t="s">
        <v>133</v>
      </c>
    </row>
    <row r="54">
      <c r="A54" s="9"/>
      <c r="B54" s="31"/>
      <c r="C54" s="9"/>
      <c r="D54" s="9"/>
      <c r="E54" s="9"/>
      <c r="F54" s="9"/>
      <c r="G54" s="9"/>
      <c r="H54" s="9"/>
      <c r="I54" s="7" t="s">
        <v>468</v>
      </c>
      <c r="J54" s="8" t="s">
        <v>133</v>
      </c>
    </row>
    <row r="55">
      <c r="A55" s="10"/>
      <c r="B55" s="32"/>
      <c r="C55" s="10"/>
      <c r="D55" s="10"/>
      <c r="E55" s="10"/>
      <c r="F55" s="9"/>
      <c r="G55" s="9"/>
      <c r="H55" s="10"/>
      <c r="I55" s="7" t="s">
        <v>245</v>
      </c>
      <c r="J55" s="8">
        <v>500.0</v>
      </c>
    </row>
    <row r="56">
      <c r="A56" s="5">
        <v>19.0</v>
      </c>
      <c r="B56" s="30" t="s">
        <v>721</v>
      </c>
      <c r="C56" s="5" t="s">
        <v>160</v>
      </c>
      <c r="D56" s="5" t="s">
        <v>722</v>
      </c>
      <c r="E56" s="5" t="s">
        <v>704</v>
      </c>
      <c r="F56" s="5" t="s">
        <v>713</v>
      </c>
      <c r="G56" s="5">
        <v>8.5376849515E10</v>
      </c>
      <c r="H56" s="5" t="s">
        <v>682</v>
      </c>
      <c r="I56" s="7" t="s">
        <v>190</v>
      </c>
      <c r="J56" s="8" t="s">
        <v>83</v>
      </c>
    </row>
    <row r="57">
      <c r="A57" s="9"/>
      <c r="B57" s="31"/>
      <c r="C57" s="9"/>
      <c r="D57" s="9"/>
      <c r="E57" s="9"/>
      <c r="F57" s="9"/>
      <c r="G57" s="9"/>
      <c r="H57" s="9"/>
      <c r="I57" s="7" t="s">
        <v>468</v>
      </c>
      <c r="J57" s="8" t="s">
        <v>83</v>
      </c>
    </row>
    <row r="58">
      <c r="A58" s="10"/>
      <c r="B58" s="32"/>
      <c r="C58" s="10"/>
      <c r="D58" s="10"/>
      <c r="E58" s="10"/>
      <c r="F58" s="9"/>
      <c r="G58" s="9"/>
      <c r="H58" s="10"/>
      <c r="I58" s="7" t="s">
        <v>245</v>
      </c>
      <c r="J58" s="8">
        <v>350.0</v>
      </c>
    </row>
    <row r="59">
      <c r="A59" s="5">
        <v>20.0</v>
      </c>
      <c r="B59" s="30" t="s">
        <v>723</v>
      </c>
      <c r="C59" s="5" t="s">
        <v>160</v>
      </c>
      <c r="D59" s="5" t="s">
        <v>220</v>
      </c>
      <c r="E59" s="5" t="s">
        <v>704</v>
      </c>
      <c r="F59" s="5" t="s">
        <v>713</v>
      </c>
      <c r="G59" s="5">
        <v>8.5376849515E10</v>
      </c>
      <c r="H59" s="5" t="s">
        <v>682</v>
      </c>
      <c r="I59" s="7" t="s">
        <v>190</v>
      </c>
      <c r="J59" s="8" t="s">
        <v>133</v>
      </c>
    </row>
    <row r="60">
      <c r="A60" s="9"/>
      <c r="B60" s="31"/>
      <c r="C60" s="9"/>
      <c r="D60" s="9"/>
      <c r="E60" s="9"/>
      <c r="F60" s="9"/>
      <c r="G60" s="9"/>
      <c r="H60" s="9"/>
      <c r="I60" s="7" t="s">
        <v>468</v>
      </c>
      <c r="J60" s="8" t="s">
        <v>133</v>
      </c>
    </row>
    <row r="61">
      <c r="A61" s="10"/>
      <c r="B61" s="32"/>
      <c r="C61" s="10"/>
      <c r="D61" s="10"/>
      <c r="E61" s="10"/>
      <c r="F61" s="9"/>
      <c r="G61" s="9"/>
      <c r="H61" s="10"/>
      <c r="I61" s="7" t="s">
        <v>245</v>
      </c>
      <c r="J61" s="8" t="s">
        <v>65</v>
      </c>
    </row>
    <row r="62">
      <c r="A62" s="5">
        <v>21.0</v>
      </c>
      <c r="B62" s="30" t="s">
        <v>724</v>
      </c>
      <c r="C62" s="5" t="s">
        <v>160</v>
      </c>
      <c r="D62" s="5" t="s">
        <v>725</v>
      </c>
      <c r="E62" s="5" t="s">
        <v>704</v>
      </c>
      <c r="F62" s="5" t="s">
        <v>713</v>
      </c>
      <c r="G62" s="5">
        <v>8.5376849515E10</v>
      </c>
      <c r="H62" s="5" t="s">
        <v>682</v>
      </c>
      <c r="I62" s="7" t="s">
        <v>190</v>
      </c>
      <c r="J62" s="8">
        <v>800.0</v>
      </c>
    </row>
    <row r="63">
      <c r="A63" s="9"/>
      <c r="B63" s="31"/>
      <c r="C63" s="9"/>
      <c r="D63" s="9"/>
      <c r="E63" s="9"/>
      <c r="F63" s="9"/>
      <c r="G63" s="9"/>
      <c r="H63" s="9"/>
      <c r="I63" s="7" t="s">
        <v>468</v>
      </c>
      <c r="J63" s="8">
        <v>800.0</v>
      </c>
    </row>
    <row r="64">
      <c r="A64" s="10"/>
      <c r="B64" s="32"/>
      <c r="C64" s="10"/>
      <c r="D64" s="10"/>
      <c r="E64" s="10"/>
      <c r="F64" s="9"/>
      <c r="G64" s="9"/>
      <c r="H64" s="10"/>
      <c r="I64" s="7" t="s">
        <v>245</v>
      </c>
      <c r="J64" s="8">
        <v>350.0</v>
      </c>
    </row>
    <row r="65">
      <c r="A65" s="5">
        <v>22.0</v>
      </c>
      <c r="B65" s="30" t="s">
        <v>726</v>
      </c>
      <c r="C65" s="5" t="s">
        <v>160</v>
      </c>
      <c r="D65" s="5" t="s">
        <v>220</v>
      </c>
      <c r="E65" s="5" t="s">
        <v>704</v>
      </c>
      <c r="F65" s="5" t="s">
        <v>713</v>
      </c>
      <c r="G65" s="5">
        <v>8.5376849515E10</v>
      </c>
      <c r="H65" s="5" t="s">
        <v>682</v>
      </c>
      <c r="I65" s="7" t="s">
        <v>190</v>
      </c>
      <c r="J65" s="8" t="s">
        <v>275</v>
      </c>
    </row>
    <row r="66">
      <c r="A66" s="9"/>
      <c r="B66" s="31"/>
      <c r="C66" s="9"/>
      <c r="D66" s="9"/>
      <c r="E66" s="9"/>
      <c r="F66" s="9"/>
      <c r="G66" s="9"/>
      <c r="H66" s="9"/>
      <c r="I66" s="7" t="s">
        <v>468</v>
      </c>
      <c r="J66" s="8" t="s">
        <v>275</v>
      </c>
    </row>
    <row r="67">
      <c r="A67" s="10"/>
      <c r="B67" s="32"/>
      <c r="C67" s="10"/>
      <c r="D67" s="10"/>
      <c r="E67" s="10"/>
      <c r="F67" s="9"/>
      <c r="G67" s="9"/>
      <c r="H67" s="10"/>
      <c r="I67" s="7" t="s">
        <v>245</v>
      </c>
      <c r="J67" s="8">
        <v>500.0</v>
      </c>
    </row>
    <row r="68">
      <c r="A68" s="5">
        <v>23.0</v>
      </c>
      <c r="B68" s="30" t="s">
        <v>727</v>
      </c>
      <c r="C68" s="5" t="s">
        <v>160</v>
      </c>
      <c r="D68" s="5" t="s">
        <v>728</v>
      </c>
      <c r="E68" s="5" t="s">
        <v>704</v>
      </c>
      <c r="F68" s="5" t="s">
        <v>713</v>
      </c>
      <c r="G68" s="5">
        <v>8.5376849515E10</v>
      </c>
      <c r="H68" s="5" t="s">
        <v>682</v>
      </c>
      <c r="I68" s="7" t="s">
        <v>190</v>
      </c>
      <c r="J68" s="8">
        <v>750.0</v>
      </c>
    </row>
    <row r="69">
      <c r="A69" s="9"/>
      <c r="B69" s="31"/>
      <c r="C69" s="9"/>
      <c r="D69" s="9"/>
      <c r="E69" s="9"/>
      <c r="F69" s="9"/>
      <c r="G69" s="9"/>
      <c r="H69" s="9"/>
      <c r="I69" s="7" t="s">
        <v>468</v>
      </c>
      <c r="J69" s="8">
        <v>750.0</v>
      </c>
    </row>
    <row r="70">
      <c r="A70" s="10"/>
      <c r="B70" s="32"/>
      <c r="C70" s="10"/>
      <c r="D70" s="10"/>
      <c r="E70" s="10"/>
      <c r="F70" s="9"/>
      <c r="G70" s="9"/>
      <c r="H70" s="10"/>
      <c r="I70" s="7" t="s">
        <v>245</v>
      </c>
      <c r="J70" s="8">
        <v>200.0</v>
      </c>
    </row>
    <row r="71">
      <c r="A71" s="5">
        <v>24.0</v>
      </c>
      <c r="B71" s="30" t="s">
        <v>729</v>
      </c>
      <c r="C71" s="5" t="s">
        <v>160</v>
      </c>
      <c r="D71" s="5" t="s">
        <v>730</v>
      </c>
      <c r="E71" s="5" t="s">
        <v>704</v>
      </c>
      <c r="F71" s="5" t="s">
        <v>713</v>
      </c>
      <c r="G71" s="5">
        <v>8.5376849515E10</v>
      </c>
      <c r="H71" s="5" t="s">
        <v>682</v>
      </c>
      <c r="I71" s="7" t="s">
        <v>190</v>
      </c>
      <c r="J71" s="8">
        <v>800.0</v>
      </c>
    </row>
    <row r="72">
      <c r="A72" s="9"/>
      <c r="B72" s="31"/>
      <c r="C72" s="9"/>
      <c r="D72" s="9"/>
      <c r="E72" s="9"/>
      <c r="F72" s="9"/>
      <c r="G72" s="9"/>
      <c r="H72" s="9"/>
      <c r="I72" s="7" t="s">
        <v>468</v>
      </c>
      <c r="J72" s="8">
        <v>800.0</v>
      </c>
    </row>
    <row r="73">
      <c r="A73" s="10"/>
      <c r="B73" s="32"/>
      <c r="C73" s="10"/>
      <c r="D73" s="10"/>
      <c r="E73" s="10"/>
      <c r="F73" s="9"/>
      <c r="G73" s="9"/>
      <c r="H73" s="10"/>
      <c r="I73" s="7" t="s">
        <v>245</v>
      </c>
      <c r="J73" s="8">
        <v>250.0</v>
      </c>
    </row>
    <row r="74">
      <c r="A74" s="5">
        <v>25.0</v>
      </c>
      <c r="B74" s="30" t="s">
        <v>731</v>
      </c>
      <c r="C74" s="5" t="s">
        <v>160</v>
      </c>
      <c r="D74" s="5" t="s">
        <v>732</v>
      </c>
      <c r="E74" s="5" t="s">
        <v>704</v>
      </c>
      <c r="F74" s="5" t="s">
        <v>713</v>
      </c>
      <c r="G74" s="5">
        <v>8.5376849515E10</v>
      </c>
      <c r="H74" s="5" t="s">
        <v>682</v>
      </c>
      <c r="I74" s="7" t="s">
        <v>190</v>
      </c>
      <c r="J74" s="8">
        <v>750.0</v>
      </c>
    </row>
    <row r="75">
      <c r="A75" s="9"/>
      <c r="B75" s="31"/>
      <c r="C75" s="9"/>
      <c r="D75" s="9"/>
      <c r="E75" s="9"/>
      <c r="F75" s="9"/>
      <c r="G75" s="9"/>
      <c r="H75" s="9"/>
      <c r="I75" s="7" t="s">
        <v>468</v>
      </c>
      <c r="J75" s="8">
        <v>750.0</v>
      </c>
    </row>
    <row r="76">
      <c r="A76" s="10"/>
      <c r="B76" s="32"/>
      <c r="C76" s="10"/>
      <c r="D76" s="10"/>
      <c r="E76" s="10"/>
      <c r="F76" s="9"/>
      <c r="G76" s="9"/>
      <c r="H76" s="10"/>
      <c r="I76" s="7" t="s">
        <v>245</v>
      </c>
      <c r="J76" s="8">
        <v>150.0</v>
      </c>
    </row>
    <row r="77">
      <c r="A77" s="5">
        <v>26.0</v>
      </c>
      <c r="B77" s="30" t="s">
        <v>733</v>
      </c>
      <c r="C77" s="5" t="s">
        <v>160</v>
      </c>
      <c r="D77" s="5" t="s">
        <v>115</v>
      </c>
      <c r="E77" s="5" t="s">
        <v>734</v>
      </c>
      <c r="F77" s="5" t="s">
        <v>713</v>
      </c>
      <c r="G77" s="5">
        <v>8.5376849515E10</v>
      </c>
      <c r="H77" s="5" t="s">
        <v>28</v>
      </c>
      <c r="I77" s="7" t="s">
        <v>190</v>
      </c>
      <c r="J77" s="8" t="s">
        <v>136</v>
      </c>
    </row>
    <row r="78">
      <c r="A78" s="9"/>
      <c r="B78" s="31"/>
      <c r="C78" s="9"/>
      <c r="D78" s="9"/>
      <c r="E78" s="9"/>
      <c r="F78" s="9"/>
      <c r="G78" s="9"/>
      <c r="H78" s="9"/>
      <c r="I78" s="7" t="s">
        <v>468</v>
      </c>
      <c r="J78" s="8" t="s">
        <v>136</v>
      </c>
    </row>
    <row r="79">
      <c r="A79" s="10"/>
      <c r="B79" s="32"/>
      <c r="C79" s="10"/>
      <c r="D79" s="10"/>
      <c r="E79" s="10"/>
      <c r="F79" s="9"/>
      <c r="G79" s="9"/>
      <c r="H79" s="10"/>
      <c r="I79" s="7" t="s">
        <v>245</v>
      </c>
      <c r="J79" s="8" t="s">
        <v>83</v>
      </c>
    </row>
    <row r="80">
      <c r="A80" s="5">
        <v>27.0</v>
      </c>
      <c r="B80" s="30" t="s">
        <v>735</v>
      </c>
      <c r="C80" s="5" t="s">
        <v>160</v>
      </c>
      <c r="D80" s="5" t="s">
        <v>736</v>
      </c>
      <c r="E80" s="5" t="s">
        <v>734</v>
      </c>
      <c r="F80" s="5" t="s">
        <v>713</v>
      </c>
      <c r="G80" s="5">
        <v>8.5376849515E10</v>
      </c>
      <c r="H80" s="5" t="s">
        <v>28</v>
      </c>
      <c r="I80" s="7" t="s">
        <v>190</v>
      </c>
      <c r="J80" s="8" t="s">
        <v>84</v>
      </c>
    </row>
    <row r="81">
      <c r="A81" s="9"/>
      <c r="B81" s="31"/>
      <c r="C81" s="9"/>
      <c r="D81" s="9"/>
      <c r="E81" s="9"/>
      <c r="F81" s="9"/>
      <c r="G81" s="9"/>
      <c r="H81" s="9"/>
      <c r="I81" s="7" t="s">
        <v>468</v>
      </c>
      <c r="J81" s="8" t="s">
        <v>84</v>
      </c>
    </row>
    <row r="82">
      <c r="A82" s="10"/>
      <c r="B82" s="32"/>
      <c r="C82" s="10"/>
      <c r="D82" s="10"/>
      <c r="E82" s="10"/>
      <c r="F82" s="9"/>
      <c r="G82" s="9"/>
      <c r="H82" s="10"/>
      <c r="I82" s="7" t="s">
        <v>245</v>
      </c>
      <c r="J82" s="8">
        <v>500.0</v>
      </c>
    </row>
    <row r="83">
      <c r="A83" s="5">
        <v>28.0</v>
      </c>
      <c r="B83" s="30" t="s">
        <v>737</v>
      </c>
      <c r="C83" s="5" t="s">
        <v>160</v>
      </c>
      <c r="D83" s="5" t="s">
        <v>738</v>
      </c>
      <c r="E83" s="5" t="s">
        <v>734</v>
      </c>
      <c r="F83" s="5" t="s">
        <v>713</v>
      </c>
      <c r="G83" s="5">
        <v>8.5376849515E10</v>
      </c>
      <c r="H83" s="5" t="s">
        <v>28</v>
      </c>
      <c r="I83" s="7" t="s">
        <v>190</v>
      </c>
      <c r="J83" s="8">
        <v>650.0</v>
      </c>
    </row>
    <row r="84">
      <c r="A84" s="9"/>
      <c r="B84" s="31"/>
      <c r="C84" s="9"/>
      <c r="D84" s="9"/>
      <c r="E84" s="9"/>
      <c r="F84" s="9"/>
      <c r="G84" s="9"/>
      <c r="H84" s="9"/>
      <c r="I84" s="7" t="s">
        <v>468</v>
      </c>
      <c r="J84" s="8">
        <v>650.0</v>
      </c>
    </row>
    <row r="85">
      <c r="A85" s="10"/>
      <c r="B85" s="32"/>
      <c r="C85" s="10"/>
      <c r="D85" s="10"/>
      <c r="E85" s="10"/>
      <c r="F85" s="9"/>
      <c r="G85" s="9"/>
      <c r="H85" s="10"/>
      <c r="I85" s="7" t="s">
        <v>245</v>
      </c>
      <c r="J85" s="8">
        <v>150.0</v>
      </c>
    </row>
    <row r="86">
      <c r="A86" s="5">
        <v>29.0</v>
      </c>
      <c r="B86" s="30" t="s">
        <v>739</v>
      </c>
      <c r="C86" s="5" t="s">
        <v>160</v>
      </c>
      <c r="D86" s="5" t="s">
        <v>341</v>
      </c>
      <c r="E86" s="5" t="s">
        <v>734</v>
      </c>
      <c r="F86" s="5" t="s">
        <v>713</v>
      </c>
      <c r="G86" s="5">
        <v>8.5376849515E10</v>
      </c>
      <c r="H86" s="5" t="s">
        <v>28</v>
      </c>
      <c r="I86" s="7" t="s">
        <v>190</v>
      </c>
      <c r="J86" s="8" t="s">
        <v>83</v>
      </c>
    </row>
    <row r="87">
      <c r="A87" s="9"/>
      <c r="B87" s="31"/>
      <c r="C87" s="9"/>
      <c r="D87" s="9"/>
      <c r="E87" s="9"/>
      <c r="F87" s="9"/>
      <c r="G87" s="9"/>
      <c r="H87" s="9"/>
      <c r="I87" s="7" t="s">
        <v>468</v>
      </c>
      <c r="J87" s="8" t="s">
        <v>83</v>
      </c>
    </row>
    <row r="88">
      <c r="A88" s="10"/>
      <c r="B88" s="32"/>
      <c r="C88" s="10"/>
      <c r="D88" s="10"/>
      <c r="E88" s="10"/>
      <c r="F88" s="9"/>
      <c r="G88" s="9"/>
      <c r="H88" s="10"/>
      <c r="I88" s="7" t="s">
        <v>245</v>
      </c>
      <c r="J88" s="8">
        <v>350.0</v>
      </c>
    </row>
    <row r="89">
      <c r="A89" s="5">
        <v>30.0</v>
      </c>
      <c r="B89" s="30" t="s">
        <v>740</v>
      </c>
      <c r="C89" s="5" t="s">
        <v>160</v>
      </c>
      <c r="D89" s="5" t="s">
        <v>148</v>
      </c>
      <c r="E89" s="5" t="s">
        <v>734</v>
      </c>
      <c r="F89" s="5" t="s">
        <v>713</v>
      </c>
      <c r="G89" s="5">
        <v>8.5376849515E10</v>
      </c>
      <c r="H89" s="5" t="s">
        <v>28</v>
      </c>
      <c r="I89" s="7" t="s">
        <v>190</v>
      </c>
      <c r="J89" s="8">
        <v>800.0</v>
      </c>
    </row>
    <row r="90">
      <c r="A90" s="9"/>
      <c r="B90" s="31"/>
      <c r="C90" s="9"/>
      <c r="D90" s="9"/>
      <c r="E90" s="9"/>
      <c r="F90" s="9"/>
      <c r="G90" s="9"/>
      <c r="H90" s="9"/>
      <c r="I90" s="7" t="s">
        <v>468</v>
      </c>
      <c r="J90" s="8">
        <v>800.0</v>
      </c>
    </row>
    <row r="91">
      <c r="A91" s="10"/>
      <c r="B91" s="32"/>
      <c r="C91" s="10"/>
      <c r="D91" s="10"/>
      <c r="E91" s="10"/>
      <c r="F91" s="9"/>
      <c r="G91" s="9"/>
      <c r="H91" s="10"/>
      <c r="I91" s="7" t="s">
        <v>245</v>
      </c>
      <c r="J91" s="8">
        <v>250.0</v>
      </c>
    </row>
    <row r="92">
      <c r="A92" s="5">
        <v>31.0</v>
      </c>
      <c r="B92" s="30" t="s">
        <v>741</v>
      </c>
      <c r="C92" s="5" t="s">
        <v>160</v>
      </c>
      <c r="D92" s="5" t="s">
        <v>192</v>
      </c>
      <c r="E92" s="5" t="s">
        <v>734</v>
      </c>
      <c r="F92" s="5" t="s">
        <v>713</v>
      </c>
      <c r="G92" s="5">
        <v>8.5376849515E10</v>
      </c>
      <c r="H92" s="5" t="s">
        <v>28</v>
      </c>
      <c r="I92" s="7" t="s">
        <v>190</v>
      </c>
      <c r="J92" s="8" t="s">
        <v>22</v>
      </c>
    </row>
    <row r="93">
      <c r="A93" s="9"/>
      <c r="B93" s="31"/>
      <c r="C93" s="9"/>
      <c r="D93" s="9"/>
      <c r="E93" s="9"/>
      <c r="F93" s="9"/>
      <c r="G93" s="9"/>
      <c r="H93" s="9"/>
      <c r="I93" s="7" t="s">
        <v>468</v>
      </c>
      <c r="J93" s="8" t="s">
        <v>22</v>
      </c>
    </row>
    <row r="94">
      <c r="A94" s="10"/>
      <c r="B94" s="32"/>
      <c r="C94" s="10"/>
      <c r="D94" s="10"/>
      <c r="E94" s="10"/>
      <c r="F94" s="9"/>
      <c r="G94" s="9"/>
      <c r="H94" s="10"/>
      <c r="I94" s="7" t="s">
        <v>245</v>
      </c>
      <c r="J94" s="8">
        <v>300.0</v>
      </c>
    </row>
    <row r="95">
      <c r="A95" s="5">
        <v>32.0</v>
      </c>
      <c r="B95" s="30" t="s">
        <v>742</v>
      </c>
      <c r="C95" s="5" t="s">
        <v>160</v>
      </c>
      <c r="D95" s="5" t="s">
        <v>743</v>
      </c>
      <c r="E95" s="5" t="s">
        <v>704</v>
      </c>
      <c r="F95" s="5" t="s">
        <v>744</v>
      </c>
      <c r="G95" s="5">
        <v>8.5822241265E10</v>
      </c>
      <c r="H95" s="5" t="s">
        <v>682</v>
      </c>
      <c r="I95" s="7" t="s">
        <v>190</v>
      </c>
      <c r="J95" s="8">
        <v>350.0</v>
      </c>
    </row>
    <row r="96">
      <c r="A96" s="9"/>
      <c r="B96" s="31"/>
      <c r="C96" s="9"/>
      <c r="D96" s="9"/>
      <c r="E96" s="9"/>
      <c r="F96" s="9"/>
      <c r="G96" s="9"/>
      <c r="H96" s="9"/>
      <c r="I96" s="7" t="s">
        <v>245</v>
      </c>
      <c r="J96" s="8">
        <v>200.0</v>
      </c>
    </row>
    <row r="97">
      <c r="A97" s="10"/>
      <c r="B97" s="32"/>
      <c r="C97" s="10"/>
      <c r="D97" s="10"/>
      <c r="E97" s="10"/>
      <c r="F97" s="10"/>
      <c r="G97" s="10"/>
      <c r="H97" s="10"/>
      <c r="I97" s="22" t="s">
        <v>498</v>
      </c>
      <c r="J97" s="8">
        <v>400.0</v>
      </c>
    </row>
    <row r="98">
      <c r="A98" s="5">
        <v>33.0</v>
      </c>
      <c r="B98" s="30" t="s">
        <v>745</v>
      </c>
      <c r="C98" s="5" t="s">
        <v>160</v>
      </c>
      <c r="D98" s="5" t="s">
        <v>746</v>
      </c>
      <c r="E98" s="5" t="s">
        <v>704</v>
      </c>
      <c r="F98" s="5" t="s">
        <v>744</v>
      </c>
      <c r="G98" s="5">
        <v>8.5822241265E10</v>
      </c>
      <c r="H98" s="5" t="s">
        <v>682</v>
      </c>
      <c r="I98" s="7" t="s">
        <v>190</v>
      </c>
      <c r="J98" s="8">
        <v>100.0</v>
      </c>
    </row>
    <row r="99">
      <c r="A99" s="9"/>
      <c r="B99" s="31"/>
      <c r="C99" s="9"/>
      <c r="D99" s="9"/>
      <c r="E99" s="9"/>
      <c r="F99" s="9"/>
      <c r="G99" s="9"/>
      <c r="H99" s="9"/>
      <c r="I99" s="7" t="s">
        <v>245</v>
      </c>
      <c r="J99" s="8">
        <v>50.0</v>
      </c>
    </row>
    <row r="100">
      <c r="A100" s="10"/>
      <c r="B100" s="32"/>
      <c r="C100" s="10"/>
      <c r="D100" s="10"/>
      <c r="E100" s="10"/>
      <c r="F100" s="10"/>
      <c r="G100" s="10"/>
      <c r="H100" s="10"/>
      <c r="I100" s="22" t="s">
        <v>498</v>
      </c>
      <c r="J100" s="8">
        <v>120.0</v>
      </c>
    </row>
    <row r="101">
      <c r="A101" s="5">
        <v>34.0</v>
      </c>
      <c r="B101" s="30" t="s">
        <v>747</v>
      </c>
      <c r="C101" s="5" t="s">
        <v>160</v>
      </c>
      <c r="D101" s="11"/>
      <c r="E101" s="5" t="s">
        <v>685</v>
      </c>
      <c r="F101" s="5" t="s">
        <v>105</v>
      </c>
      <c r="G101" s="5">
        <v>8.2334806095E10</v>
      </c>
      <c r="H101" s="11"/>
      <c r="I101" s="7" t="s">
        <v>190</v>
      </c>
      <c r="J101" s="8">
        <v>250.0</v>
      </c>
    </row>
    <row r="102">
      <c r="A102" s="9"/>
      <c r="B102" s="31"/>
      <c r="C102" s="9"/>
      <c r="D102" s="9"/>
      <c r="E102" s="9"/>
      <c r="F102" s="9"/>
      <c r="G102" s="9"/>
      <c r="H102" s="9"/>
      <c r="I102" s="7" t="s">
        <v>468</v>
      </c>
      <c r="J102" s="8">
        <v>250.0</v>
      </c>
    </row>
    <row r="103">
      <c r="A103" s="10"/>
      <c r="B103" s="32"/>
      <c r="C103" s="10"/>
      <c r="D103" s="10"/>
      <c r="E103" s="10"/>
      <c r="F103" s="10"/>
      <c r="G103" s="10"/>
      <c r="H103" s="10"/>
      <c r="I103" s="7" t="s">
        <v>245</v>
      </c>
      <c r="J103" s="8">
        <v>50.0</v>
      </c>
    </row>
    <row r="104">
      <c r="A104" s="5">
        <v>35.0</v>
      </c>
      <c r="B104" s="30" t="s">
        <v>748</v>
      </c>
      <c r="C104" s="5" t="s">
        <v>160</v>
      </c>
      <c r="D104" s="11"/>
      <c r="E104" s="5" t="s">
        <v>704</v>
      </c>
      <c r="F104" s="5" t="s">
        <v>105</v>
      </c>
      <c r="G104" s="5">
        <v>8.2334806095E10</v>
      </c>
      <c r="H104" s="11"/>
      <c r="I104" s="7" t="s">
        <v>190</v>
      </c>
      <c r="J104" s="8">
        <v>100.0</v>
      </c>
    </row>
    <row r="105">
      <c r="A105" s="9"/>
      <c r="B105" s="31"/>
      <c r="C105" s="9"/>
      <c r="D105" s="9"/>
      <c r="E105" s="9"/>
      <c r="F105" s="9"/>
      <c r="G105" s="9"/>
      <c r="H105" s="9"/>
      <c r="I105" s="7" t="s">
        <v>468</v>
      </c>
      <c r="J105" s="8">
        <v>100.0</v>
      </c>
    </row>
    <row r="106">
      <c r="A106" s="10"/>
      <c r="B106" s="32"/>
      <c r="C106" s="10"/>
      <c r="D106" s="10"/>
      <c r="E106" s="10"/>
      <c r="F106" s="10"/>
      <c r="G106" s="10"/>
      <c r="H106" s="10"/>
      <c r="I106" s="7" t="s">
        <v>245</v>
      </c>
      <c r="J106" s="8">
        <v>20.0</v>
      </c>
    </row>
    <row r="107">
      <c r="A107" s="5">
        <v>36.0</v>
      </c>
      <c r="B107" s="30" t="s">
        <v>749</v>
      </c>
      <c r="C107" s="5" t="s">
        <v>160</v>
      </c>
      <c r="D107" s="11"/>
      <c r="E107" s="5" t="s">
        <v>704</v>
      </c>
      <c r="F107" s="5" t="s">
        <v>105</v>
      </c>
      <c r="G107" s="5">
        <v>8.1377708364E10</v>
      </c>
      <c r="H107" s="11"/>
      <c r="I107" s="7" t="s">
        <v>190</v>
      </c>
      <c r="J107" s="8">
        <v>250.0</v>
      </c>
    </row>
    <row r="108">
      <c r="A108" s="9"/>
      <c r="B108" s="31"/>
      <c r="C108" s="9"/>
      <c r="D108" s="9"/>
      <c r="E108" s="9"/>
      <c r="F108" s="9"/>
      <c r="G108" s="9"/>
      <c r="H108" s="9"/>
      <c r="I108" s="7" t="s">
        <v>468</v>
      </c>
      <c r="J108" s="8">
        <v>250.0</v>
      </c>
    </row>
    <row r="109">
      <c r="A109" s="10"/>
      <c r="B109" s="32"/>
      <c r="C109" s="10"/>
      <c r="D109" s="10"/>
      <c r="E109" s="10"/>
      <c r="F109" s="10"/>
      <c r="G109" s="10"/>
      <c r="H109" s="10"/>
      <c r="I109" s="7" t="s">
        <v>245</v>
      </c>
      <c r="J109" s="8">
        <v>150.0</v>
      </c>
    </row>
    <row r="110">
      <c r="A110" s="5">
        <v>37.0</v>
      </c>
      <c r="B110" s="30" t="s">
        <v>750</v>
      </c>
      <c r="C110" s="5" t="s">
        <v>160</v>
      </c>
      <c r="D110" s="11"/>
      <c r="E110" s="5" t="s">
        <v>685</v>
      </c>
      <c r="F110" s="5" t="s">
        <v>105</v>
      </c>
      <c r="G110" s="5">
        <v>8.1370859276E10</v>
      </c>
      <c r="H110" s="11"/>
      <c r="I110" s="7" t="s">
        <v>190</v>
      </c>
      <c r="J110" s="8">
        <v>710.0</v>
      </c>
    </row>
    <row r="111">
      <c r="A111" s="9"/>
      <c r="B111" s="31"/>
      <c r="C111" s="9"/>
      <c r="D111" s="9"/>
      <c r="E111" s="9"/>
      <c r="F111" s="9"/>
      <c r="G111" s="9"/>
      <c r="H111" s="9"/>
      <c r="I111" s="7" t="s">
        <v>468</v>
      </c>
      <c r="J111" s="8">
        <v>800.0</v>
      </c>
    </row>
    <row r="112">
      <c r="A112" s="10"/>
      <c r="B112" s="32"/>
      <c r="C112" s="10"/>
      <c r="D112" s="10"/>
      <c r="E112" s="10"/>
      <c r="F112" s="10"/>
      <c r="G112" s="10"/>
      <c r="H112" s="10"/>
      <c r="I112" s="7" t="s">
        <v>245</v>
      </c>
      <c r="J112" s="8">
        <v>130.0</v>
      </c>
    </row>
    <row r="113">
      <c r="A113" s="5">
        <v>38.0</v>
      </c>
      <c r="B113" s="30" t="s">
        <v>751</v>
      </c>
      <c r="C113" s="5" t="s">
        <v>160</v>
      </c>
      <c r="D113" s="5" t="s">
        <v>752</v>
      </c>
      <c r="E113" s="5" t="s">
        <v>734</v>
      </c>
      <c r="F113" s="5" t="s">
        <v>753</v>
      </c>
      <c r="G113" s="5">
        <v>8.5648135606E10</v>
      </c>
      <c r="H113" s="5" t="s">
        <v>682</v>
      </c>
      <c r="I113" s="7" t="s">
        <v>190</v>
      </c>
      <c r="J113" s="8">
        <v>500.0</v>
      </c>
    </row>
    <row r="114">
      <c r="A114" s="9"/>
      <c r="B114" s="31"/>
      <c r="C114" s="9"/>
      <c r="D114" s="9"/>
      <c r="E114" s="9"/>
      <c r="F114" s="9"/>
      <c r="G114" s="9"/>
      <c r="H114" s="9"/>
      <c r="I114" s="7" t="s">
        <v>468</v>
      </c>
      <c r="J114" s="8">
        <v>500.0</v>
      </c>
    </row>
    <row r="115">
      <c r="A115" s="10"/>
      <c r="B115" s="32"/>
      <c r="C115" s="10"/>
      <c r="D115" s="10"/>
      <c r="E115" s="10"/>
      <c r="F115" s="10"/>
      <c r="G115" s="10"/>
      <c r="H115" s="10"/>
      <c r="I115" s="7" t="s">
        <v>245</v>
      </c>
      <c r="J115" s="8">
        <v>500.0</v>
      </c>
    </row>
    <row r="116">
      <c r="A116" s="5">
        <v>39.0</v>
      </c>
      <c r="B116" s="30" t="s">
        <v>754</v>
      </c>
      <c r="C116" s="5" t="s">
        <v>160</v>
      </c>
      <c r="D116" s="5" t="s">
        <v>755</v>
      </c>
      <c r="E116" s="5" t="s">
        <v>734</v>
      </c>
      <c r="F116" s="5" t="s">
        <v>105</v>
      </c>
      <c r="G116" s="5">
        <v>8.5780407911E10</v>
      </c>
      <c r="H116" s="5" t="s">
        <v>152</v>
      </c>
      <c r="I116" s="7" t="s">
        <v>190</v>
      </c>
      <c r="J116" s="8">
        <v>300.0</v>
      </c>
    </row>
    <row r="117">
      <c r="A117" s="9"/>
      <c r="B117" s="31"/>
      <c r="C117" s="9"/>
      <c r="D117" s="9"/>
      <c r="E117" s="9"/>
      <c r="F117" s="9"/>
      <c r="G117" s="9"/>
      <c r="H117" s="9"/>
      <c r="I117" s="7" t="s">
        <v>468</v>
      </c>
      <c r="J117" s="8">
        <v>300.0</v>
      </c>
    </row>
    <row r="118">
      <c r="A118" s="10"/>
      <c r="B118" s="32"/>
      <c r="C118" s="10"/>
      <c r="D118" s="10"/>
      <c r="E118" s="10"/>
      <c r="F118" s="10"/>
      <c r="G118" s="10"/>
      <c r="H118" s="10"/>
      <c r="I118" s="7" t="s">
        <v>245</v>
      </c>
      <c r="J118" s="8">
        <v>200.0</v>
      </c>
    </row>
    <row r="119">
      <c r="A119" s="5">
        <v>40.0</v>
      </c>
      <c r="B119" s="30" t="s">
        <v>756</v>
      </c>
      <c r="C119" s="5" t="s">
        <v>160</v>
      </c>
      <c r="D119" s="5" t="s">
        <v>757</v>
      </c>
      <c r="E119" s="5" t="s">
        <v>734</v>
      </c>
      <c r="F119" s="5" t="s">
        <v>105</v>
      </c>
      <c r="G119" s="5">
        <v>8.1283652828E10</v>
      </c>
      <c r="H119" s="5" t="s">
        <v>152</v>
      </c>
      <c r="I119" s="7" t="s">
        <v>758</v>
      </c>
      <c r="J119" s="8">
        <v>299.0</v>
      </c>
    </row>
    <row r="120">
      <c r="A120" s="9"/>
      <c r="B120" s="31"/>
      <c r="C120" s="9"/>
      <c r="D120" s="9"/>
      <c r="E120" s="9"/>
      <c r="F120" s="9"/>
      <c r="G120" s="9"/>
      <c r="H120" s="9"/>
      <c r="I120" s="7" t="s">
        <v>14</v>
      </c>
      <c r="J120" s="8">
        <v>239.0</v>
      </c>
    </row>
    <row r="121">
      <c r="A121" s="10"/>
      <c r="B121" s="32"/>
      <c r="C121" s="10"/>
      <c r="D121" s="10"/>
      <c r="E121" s="10"/>
      <c r="F121" s="10"/>
      <c r="G121" s="10"/>
      <c r="H121" s="10"/>
      <c r="I121" s="7" t="s">
        <v>245</v>
      </c>
      <c r="J121" s="8">
        <v>159.0</v>
      </c>
    </row>
    <row r="122">
      <c r="A122" s="5">
        <v>41.0</v>
      </c>
      <c r="B122" s="30" t="s">
        <v>759</v>
      </c>
      <c r="C122" s="5" t="s">
        <v>160</v>
      </c>
      <c r="D122" s="5" t="s">
        <v>760</v>
      </c>
      <c r="E122" s="5" t="s">
        <v>734</v>
      </c>
      <c r="F122" s="5" t="s">
        <v>105</v>
      </c>
      <c r="G122" s="5">
        <v>8.1221636005E10</v>
      </c>
      <c r="H122" s="5" t="s">
        <v>761</v>
      </c>
      <c r="I122" s="7" t="s">
        <v>190</v>
      </c>
      <c r="J122" s="8">
        <v>150.0</v>
      </c>
    </row>
    <row r="123">
      <c r="A123" s="9"/>
      <c r="B123" s="31"/>
      <c r="C123" s="9"/>
      <c r="D123" s="9"/>
      <c r="E123" s="9"/>
      <c r="F123" s="9"/>
      <c r="G123" s="9"/>
      <c r="H123" s="9"/>
      <c r="I123" s="7" t="s">
        <v>468</v>
      </c>
      <c r="J123" s="8">
        <v>200.0</v>
      </c>
    </row>
    <row r="124">
      <c r="A124" s="10"/>
      <c r="B124" s="32"/>
      <c r="C124" s="10"/>
      <c r="D124" s="10"/>
      <c r="E124" s="10"/>
      <c r="F124" s="10"/>
      <c r="G124" s="10"/>
      <c r="H124" s="10"/>
      <c r="I124" s="7" t="s">
        <v>245</v>
      </c>
      <c r="J124" s="8">
        <v>100.0</v>
      </c>
    </row>
    <row r="125">
      <c r="A125" s="5">
        <v>42.0</v>
      </c>
      <c r="B125" s="30" t="s">
        <v>762</v>
      </c>
      <c r="C125" s="5" t="s">
        <v>160</v>
      </c>
      <c r="D125" s="5" t="s">
        <v>763</v>
      </c>
      <c r="E125" s="5" t="s">
        <v>734</v>
      </c>
      <c r="F125" s="5" t="s">
        <v>105</v>
      </c>
      <c r="G125" s="5">
        <v>8.771894136E10</v>
      </c>
      <c r="H125" s="5" t="s">
        <v>187</v>
      </c>
      <c r="I125" s="7" t="s">
        <v>764</v>
      </c>
      <c r="J125" s="8" t="s">
        <v>20</v>
      </c>
    </row>
    <row r="126">
      <c r="A126" s="9"/>
      <c r="B126" s="31"/>
      <c r="C126" s="9"/>
      <c r="D126" s="9"/>
      <c r="E126" s="9"/>
      <c r="F126" s="9"/>
      <c r="G126" s="9"/>
      <c r="H126" s="9"/>
      <c r="I126" s="7" t="s">
        <v>765</v>
      </c>
      <c r="J126" s="8">
        <v>700.0</v>
      </c>
    </row>
    <row r="127">
      <c r="A127" s="10"/>
      <c r="B127" s="32"/>
      <c r="C127" s="10"/>
      <c r="D127" s="10"/>
      <c r="E127" s="10"/>
      <c r="F127" s="10"/>
      <c r="G127" s="10"/>
      <c r="H127" s="10"/>
      <c r="I127" s="7" t="s">
        <v>766</v>
      </c>
      <c r="J127" s="8" t="s">
        <v>133</v>
      </c>
    </row>
    <row r="128">
      <c r="A128" s="5">
        <v>43.0</v>
      </c>
      <c r="B128" s="30" t="s">
        <v>767</v>
      </c>
      <c r="C128" s="5" t="s">
        <v>160</v>
      </c>
      <c r="D128" s="5" t="s">
        <v>768</v>
      </c>
      <c r="E128" s="5" t="s">
        <v>734</v>
      </c>
      <c r="F128" s="5" t="s">
        <v>105</v>
      </c>
      <c r="G128" s="5">
        <v>8.5161209025E10</v>
      </c>
      <c r="H128" s="5" t="s">
        <v>152</v>
      </c>
      <c r="I128" s="7" t="s">
        <v>190</v>
      </c>
      <c r="J128" s="8">
        <v>200.0</v>
      </c>
    </row>
    <row r="129">
      <c r="A129" s="9"/>
      <c r="B129" s="31"/>
      <c r="C129" s="9"/>
      <c r="D129" s="9"/>
      <c r="E129" s="9"/>
      <c r="F129" s="9"/>
      <c r="G129" s="9"/>
      <c r="H129" s="9"/>
      <c r="I129" s="7" t="s">
        <v>468</v>
      </c>
      <c r="J129" s="8">
        <v>250.0</v>
      </c>
    </row>
    <row r="130">
      <c r="A130" s="10"/>
      <c r="B130" s="32"/>
      <c r="C130" s="10"/>
      <c r="D130" s="10"/>
      <c r="E130" s="10"/>
      <c r="F130" s="10"/>
      <c r="G130" s="10"/>
      <c r="H130" s="10"/>
      <c r="I130" s="7" t="s">
        <v>245</v>
      </c>
      <c r="J130" s="8">
        <v>70.0</v>
      </c>
    </row>
    <row r="131">
      <c r="A131" s="5">
        <v>44.0</v>
      </c>
      <c r="B131" s="30" t="s">
        <v>769</v>
      </c>
      <c r="C131" s="5" t="s">
        <v>160</v>
      </c>
      <c r="D131" s="5" t="s">
        <v>720</v>
      </c>
      <c r="E131" s="5" t="s">
        <v>734</v>
      </c>
      <c r="F131" s="5" t="s">
        <v>105</v>
      </c>
      <c r="G131" s="5">
        <v>8.5798829338E10</v>
      </c>
      <c r="H131" s="5" t="s">
        <v>152</v>
      </c>
      <c r="I131" s="7" t="s">
        <v>190</v>
      </c>
      <c r="J131" s="8">
        <v>850.0</v>
      </c>
    </row>
    <row r="132">
      <c r="A132" s="9"/>
      <c r="B132" s="31"/>
      <c r="C132" s="9"/>
      <c r="D132" s="9"/>
      <c r="E132" s="9"/>
      <c r="F132" s="9"/>
      <c r="G132" s="9"/>
      <c r="H132" s="9"/>
      <c r="I132" s="7" t="s">
        <v>770</v>
      </c>
      <c r="J132" s="8">
        <v>150.0</v>
      </c>
    </row>
    <row r="133">
      <c r="A133" s="10"/>
      <c r="B133" s="32"/>
      <c r="C133" s="10"/>
      <c r="D133" s="10"/>
      <c r="E133" s="10"/>
      <c r="F133" s="10"/>
      <c r="G133" s="10"/>
      <c r="H133" s="10"/>
      <c r="I133" s="7" t="s">
        <v>245</v>
      </c>
      <c r="J133" s="8">
        <v>400.0</v>
      </c>
    </row>
    <row r="134">
      <c r="A134" s="5">
        <v>45.0</v>
      </c>
      <c r="B134" s="30" t="s">
        <v>771</v>
      </c>
      <c r="C134" s="5" t="s">
        <v>160</v>
      </c>
      <c r="D134" s="5" t="s">
        <v>306</v>
      </c>
      <c r="E134" s="5" t="s">
        <v>734</v>
      </c>
      <c r="F134" s="5" t="s">
        <v>772</v>
      </c>
      <c r="G134" s="5">
        <v>8.2193639442E10</v>
      </c>
      <c r="H134" s="5" t="s">
        <v>682</v>
      </c>
      <c r="I134" s="7" t="s">
        <v>758</v>
      </c>
      <c r="J134" s="7" t="s">
        <v>773</v>
      </c>
    </row>
    <row r="135">
      <c r="A135" s="9"/>
      <c r="B135" s="31"/>
      <c r="C135" s="9"/>
      <c r="D135" s="9"/>
      <c r="E135" s="9"/>
      <c r="F135" s="9"/>
      <c r="G135" s="9"/>
      <c r="H135" s="9"/>
      <c r="I135" s="7" t="s">
        <v>14</v>
      </c>
      <c r="J135" s="8" t="s">
        <v>106</v>
      </c>
    </row>
    <row r="136">
      <c r="A136" s="10"/>
      <c r="B136" s="32"/>
      <c r="C136" s="10"/>
      <c r="D136" s="10"/>
      <c r="E136" s="10"/>
      <c r="F136" s="10"/>
      <c r="G136" s="10"/>
      <c r="H136" s="10"/>
      <c r="I136" s="7" t="s">
        <v>245</v>
      </c>
      <c r="J136" s="8" t="s">
        <v>106</v>
      </c>
    </row>
    <row r="137">
      <c r="A137" s="5">
        <v>46.0</v>
      </c>
      <c r="B137" s="30" t="s">
        <v>774</v>
      </c>
      <c r="C137" s="5" t="s">
        <v>160</v>
      </c>
      <c r="D137" s="5" t="s">
        <v>775</v>
      </c>
      <c r="E137" s="5" t="s">
        <v>734</v>
      </c>
      <c r="F137" s="5" t="s">
        <v>776</v>
      </c>
      <c r="G137" s="5">
        <v>8.822636512E10</v>
      </c>
      <c r="H137" s="5" t="s">
        <v>28</v>
      </c>
      <c r="I137" s="7" t="s">
        <v>190</v>
      </c>
      <c r="J137" s="8">
        <v>700.0</v>
      </c>
    </row>
    <row r="138">
      <c r="A138" s="9"/>
      <c r="B138" s="31"/>
      <c r="C138" s="9"/>
      <c r="D138" s="9"/>
      <c r="E138" s="9"/>
      <c r="F138" s="9"/>
      <c r="G138" s="9"/>
      <c r="H138" s="9"/>
      <c r="I138" s="7" t="s">
        <v>468</v>
      </c>
      <c r="J138" s="8">
        <v>750.0</v>
      </c>
    </row>
    <row r="139">
      <c r="A139" s="10"/>
      <c r="B139" s="32"/>
      <c r="C139" s="10"/>
      <c r="D139" s="10"/>
      <c r="E139" s="10"/>
      <c r="F139" s="10"/>
      <c r="G139" s="10"/>
      <c r="H139" s="10"/>
      <c r="I139" s="7" t="s">
        <v>245</v>
      </c>
      <c r="J139" s="8">
        <v>350.0</v>
      </c>
    </row>
    <row r="140">
      <c r="A140" s="5">
        <v>47.0</v>
      </c>
      <c r="B140" s="30" t="s">
        <v>777</v>
      </c>
      <c r="C140" s="5" t="s">
        <v>160</v>
      </c>
      <c r="D140" s="5" t="s">
        <v>778</v>
      </c>
      <c r="E140" s="5" t="s">
        <v>734</v>
      </c>
      <c r="F140" s="5" t="s">
        <v>776</v>
      </c>
      <c r="G140" s="5">
        <v>8.822636512E10</v>
      </c>
      <c r="H140" s="5" t="s">
        <v>28</v>
      </c>
      <c r="I140" s="7" t="s">
        <v>190</v>
      </c>
      <c r="J140" s="8">
        <v>500.0</v>
      </c>
    </row>
    <row r="141">
      <c r="A141" s="9"/>
      <c r="B141" s="31"/>
      <c r="C141" s="9"/>
      <c r="D141" s="9"/>
      <c r="E141" s="9"/>
      <c r="F141" s="9"/>
      <c r="G141" s="9"/>
      <c r="H141" s="9"/>
      <c r="I141" s="7" t="s">
        <v>468</v>
      </c>
      <c r="J141" s="8">
        <v>500.0</v>
      </c>
    </row>
    <row r="142">
      <c r="A142" s="10"/>
      <c r="B142" s="32"/>
      <c r="C142" s="10"/>
      <c r="D142" s="10"/>
      <c r="E142" s="10"/>
      <c r="F142" s="10"/>
      <c r="G142" s="10"/>
      <c r="H142" s="10"/>
      <c r="I142" s="7" t="s">
        <v>245</v>
      </c>
      <c r="J142" s="8">
        <v>185.0</v>
      </c>
    </row>
    <row r="143">
      <c r="A143" s="5">
        <v>48.0</v>
      </c>
      <c r="B143" s="30" t="s">
        <v>779</v>
      </c>
      <c r="C143" s="5" t="s">
        <v>160</v>
      </c>
      <c r="D143" s="5" t="s">
        <v>780</v>
      </c>
      <c r="E143" s="5" t="s">
        <v>734</v>
      </c>
      <c r="F143" s="5" t="s">
        <v>776</v>
      </c>
      <c r="G143" s="5">
        <v>8.822636512E10</v>
      </c>
      <c r="H143" s="5" t="s">
        <v>269</v>
      </c>
      <c r="I143" s="7" t="s">
        <v>190</v>
      </c>
      <c r="J143" s="8">
        <v>350.0</v>
      </c>
    </row>
    <row r="144">
      <c r="A144" s="9"/>
      <c r="B144" s="31"/>
      <c r="C144" s="9"/>
      <c r="D144" s="9"/>
      <c r="E144" s="9"/>
      <c r="F144" s="9"/>
      <c r="G144" s="9"/>
      <c r="H144" s="9"/>
      <c r="I144" s="7" t="s">
        <v>468</v>
      </c>
      <c r="J144" s="8">
        <v>350.0</v>
      </c>
    </row>
    <row r="145">
      <c r="A145" s="10"/>
      <c r="B145" s="32"/>
      <c r="C145" s="10"/>
      <c r="D145" s="10"/>
      <c r="E145" s="10"/>
      <c r="F145" s="10"/>
      <c r="G145" s="10"/>
      <c r="H145" s="10"/>
      <c r="I145" s="7" t="s">
        <v>245</v>
      </c>
      <c r="J145" s="8">
        <v>150.0</v>
      </c>
    </row>
    <row r="146">
      <c r="A146" s="5">
        <v>49.0</v>
      </c>
      <c r="B146" s="30" t="s">
        <v>781</v>
      </c>
      <c r="C146" s="5" t="s">
        <v>160</v>
      </c>
      <c r="D146" s="5" t="s">
        <v>782</v>
      </c>
      <c r="E146" s="5" t="s">
        <v>734</v>
      </c>
      <c r="F146" s="5" t="s">
        <v>776</v>
      </c>
      <c r="G146" s="5">
        <v>8.822636512E10</v>
      </c>
      <c r="H146" s="5" t="s">
        <v>28</v>
      </c>
      <c r="I146" s="7" t="s">
        <v>190</v>
      </c>
      <c r="J146" s="8">
        <v>250.0</v>
      </c>
    </row>
    <row r="147">
      <c r="A147" s="9"/>
      <c r="B147" s="31"/>
      <c r="C147" s="9"/>
      <c r="D147" s="9"/>
      <c r="E147" s="9"/>
      <c r="F147" s="9"/>
      <c r="G147" s="9"/>
      <c r="H147" s="9"/>
      <c r="I147" s="7" t="s">
        <v>468</v>
      </c>
      <c r="J147" s="8">
        <v>250.0</v>
      </c>
    </row>
    <row r="148">
      <c r="A148" s="10"/>
      <c r="B148" s="32"/>
      <c r="C148" s="10"/>
      <c r="D148" s="10"/>
      <c r="E148" s="10"/>
      <c r="F148" s="10"/>
      <c r="G148" s="10"/>
      <c r="H148" s="10"/>
      <c r="I148" s="7" t="s">
        <v>245</v>
      </c>
      <c r="J148" s="8">
        <v>150.0</v>
      </c>
    </row>
    <row r="149">
      <c r="A149" s="5">
        <v>50.0</v>
      </c>
      <c r="B149" s="30" t="s">
        <v>783</v>
      </c>
      <c r="C149" s="5" t="s">
        <v>160</v>
      </c>
      <c r="D149" s="5" t="s">
        <v>784</v>
      </c>
      <c r="E149" s="5" t="s">
        <v>734</v>
      </c>
      <c r="F149" s="5" t="s">
        <v>776</v>
      </c>
      <c r="G149" s="5">
        <v>8.822636512E10</v>
      </c>
      <c r="H149" s="5" t="s">
        <v>785</v>
      </c>
      <c r="I149" s="7" t="s">
        <v>190</v>
      </c>
      <c r="J149" s="8">
        <v>250.0</v>
      </c>
    </row>
    <row r="150">
      <c r="A150" s="9"/>
      <c r="B150" s="31"/>
      <c r="C150" s="9"/>
      <c r="D150" s="9"/>
      <c r="E150" s="9"/>
      <c r="F150" s="9"/>
      <c r="G150" s="9"/>
      <c r="H150" s="9"/>
      <c r="I150" s="7" t="s">
        <v>468</v>
      </c>
      <c r="J150" s="8">
        <v>250.0</v>
      </c>
    </row>
    <row r="151">
      <c r="A151" s="10"/>
      <c r="B151" s="32"/>
      <c r="C151" s="10"/>
      <c r="D151" s="10"/>
      <c r="E151" s="10"/>
      <c r="F151" s="10"/>
      <c r="G151" s="10"/>
      <c r="H151" s="10"/>
      <c r="I151" s="7" t="s">
        <v>245</v>
      </c>
      <c r="J151" s="8">
        <v>100.0</v>
      </c>
    </row>
    <row r="152">
      <c r="A152" s="5">
        <v>51.0</v>
      </c>
      <c r="B152" s="30" t="s">
        <v>786</v>
      </c>
      <c r="C152" s="5" t="s">
        <v>160</v>
      </c>
      <c r="D152" s="5" t="s">
        <v>787</v>
      </c>
      <c r="E152" s="5" t="s">
        <v>734</v>
      </c>
      <c r="F152" s="5" t="s">
        <v>776</v>
      </c>
      <c r="G152" s="5">
        <v>8.822636512E10</v>
      </c>
      <c r="H152" s="5" t="s">
        <v>122</v>
      </c>
      <c r="I152" s="7" t="s">
        <v>190</v>
      </c>
      <c r="J152" s="8">
        <v>250.0</v>
      </c>
    </row>
    <row r="153">
      <c r="A153" s="9"/>
      <c r="B153" s="31"/>
      <c r="C153" s="9"/>
      <c r="D153" s="9"/>
      <c r="E153" s="9"/>
      <c r="F153" s="9"/>
      <c r="G153" s="9"/>
      <c r="H153" s="9"/>
      <c r="I153" s="7" t="s">
        <v>468</v>
      </c>
      <c r="J153" s="8">
        <v>250.0</v>
      </c>
    </row>
    <row r="154">
      <c r="A154" s="10"/>
      <c r="B154" s="32"/>
      <c r="C154" s="10"/>
      <c r="D154" s="10"/>
      <c r="E154" s="10"/>
      <c r="F154" s="10"/>
      <c r="G154" s="10"/>
      <c r="H154" s="10"/>
      <c r="I154" s="7" t="s">
        <v>245</v>
      </c>
      <c r="J154" s="8">
        <v>100.0</v>
      </c>
    </row>
    <row r="155">
      <c r="A155" s="5">
        <v>52.0</v>
      </c>
      <c r="B155" s="30" t="s">
        <v>788</v>
      </c>
      <c r="C155" s="5" t="s">
        <v>160</v>
      </c>
      <c r="D155" s="5" t="s">
        <v>789</v>
      </c>
      <c r="E155" s="5" t="s">
        <v>734</v>
      </c>
      <c r="F155" s="5" t="s">
        <v>776</v>
      </c>
      <c r="G155" s="5">
        <v>8.822636512E10</v>
      </c>
      <c r="H155" s="5" t="s">
        <v>187</v>
      </c>
      <c r="I155" s="7" t="s">
        <v>190</v>
      </c>
      <c r="J155" s="8">
        <v>200.0</v>
      </c>
    </row>
    <row r="156">
      <c r="A156" s="9"/>
      <c r="B156" s="31"/>
      <c r="C156" s="9"/>
      <c r="D156" s="9"/>
      <c r="E156" s="9"/>
      <c r="F156" s="9"/>
      <c r="G156" s="9"/>
      <c r="H156" s="9"/>
      <c r="I156" s="7" t="s">
        <v>468</v>
      </c>
      <c r="J156" s="8">
        <v>200.0</v>
      </c>
    </row>
    <row r="157">
      <c r="A157" s="10"/>
      <c r="B157" s="32"/>
      <c r="C157" s="10"/>
      <c r="D157" s="10"/>
      <c r="E157" s="10"/>
      <c r="F157" s="10"/>
      <c r="G157" s="10"/>
      <c r="H157" s="10"/>
      <c r="I157" s="7" t="s">
        <v>245</v>
      </c>
      <c r="J157" s="8">
        <v>85.0</v>
      </c>
    </row>
    <row r="158">
      <c r="A158" s="5">
        <v>53.0</v>
      </c>
      <c r="B158" s="30" t="s">
        <v>790</v>
      </c>
      <c r="C158" s="5" t="s">
        <v>160</v>
      </c>
      <c r="D158" s="5" t="s">
        <v>791</v>
      </c>
      <c r="E158" s="5" t="s">
        <v>734</v>
      </c>
      <c r="F158" s="5" t="s">
        <v>776</v>
      </c>
      <c r="G158" s="5">
        <v>8.822636512E10</v>
      </c>
      <c r="H158" s="5" t="s">
        <v>208</v>
      </c>
      <c r="I158" s="7" t="s">
        <v>190</v>
      </c>
      <c r="J158" s="8">
        <v>150.0</v>
      </c>
    </row>
    <row r="159">
      <c r="A159" s="9"/>
      <c r="B159" s="31"/>
      <c r="C159" s="9"/>
      <c r="D159" s="9"/>
      <c r="E159" s="9"/>
      <c r="F159" s="9"/>
      <c r="G159" s="9"/>
      <c r="H159" s="9"/>
      <c r="I159" s="7" t="s">
        <v>468</v>
      </c>
      <c r="J159" s="8">
        <v>150.0</v>
      </c>
    </row>
    <row r="160">
      <c r="A160" s="10"/>
      <c r="B160" s="32"/>
      <c r="C160" s="10"/>
      <c r="D160" s="10"/>
      <c r="E160" s="10"/>
      <c r="F160" s="10"/>
      <c r="G160" s="10"/>
      <c r="H160" s="10"/>
      <c r="I160" s="7" t="s">
        <v>245</v>
      </c>
      <c r="J160" s="8">
        <v>75.0</v>
      </c>
    </row>
    <row r="161">
      <c r="A161" s="5">
        <v>54.0</v>
      </c>
      <c r="B161" s="30" t="s">
        <v>792</v>
      </c>
      <c r="C161" s="5" t="s">
        <v>160</v>
      </c>
      <c r="D161" s="5" t="s">
        <v>793</v>
      </c>
      <c r="E161" s="5" t="s">
        <v>734</v>
      </c>
      <c r="F161" s="5" t="s">
        <v>776</v>
      </c>
      <c r="G161" s="5">
        <v>8.822636512E10</v>
      </c>
      <c r="H161" s="5" t="s">
        <v>269</v>
      </c>
      <c r="I161" s="7" t="s">
        <v>190</v>
      </c>
      <c r="J161" s="8">
        <v>125.0</v>
      </c>
    </row>
    <row r="162">
      <c r="A162" s="9"/>
      <c r="B162" s="31"/>
      <c r="C162" s="9"/>
      <c r="D162" s="9"/>
      <c r="E162" s="9"/>
      <c r="F162" s="9"/>
      <c r="G162" s="9"/>
      <c r="H162" s="9"/>
      <c r="I162" s="7" t="s">
        <v>468</v>
      </c>
      <c r="J162" s="8">
        <v>125.0</v>
      </c>
    </row>
    <row r="163">
      <c r="A163" s="10"/>
      <c r="B163" s="32"/>
      <c r="C163" s="10"/>
      <c r="D163" s="10"/>
      <c r="E163" s="10"/>
      <c r="F163" s="10"/>
      <c r="G163" s="10"/>
      <c r="H163" s="10"/>
      <c r="I163" s="7" t="s">
        <v>245</v>
      </c>
      <c r="J163" s="8">
        <v>85.0</v>
      </c>
    </row>
    <row r="164">
      <c r="A164" s="5">
        <v>55.0</v>
      </c>
      <c r="B164" s="30" t="s">
        <v>794</v>
      </c>
      <c r="C164" s="5" t="s">
        <v>160</v>
      </c>
      <c r="D164" s="5" t="s">
        <v>795</v>
      </c>
      <c r="E164" s="5" t="s">
        <v>734</v>
      </c>
      <c r="F164" s="5" t="s">
        <v>776</v>
      </c>
      <c r="G164" s="5">
        <v>8.822636512E10</v>
      </c>
      <c r="H164" s="5" t="s">
        <v>28</v>
      </c>
      <c r="I164" s="7" t="s">
        <v>190</v>
      </c>
      <c r="J164" s="8">
        <v>115.0</v>
      </c>
    </row>
    <row r="165">
      <c r="A165" s="9"/>
      <c r="B165" s="31"/>
      <c r="C165" s="9"/>
      <c r="D165" s="9"/>
      <c r="E165" s="9"/>
      <c r="F165" s="9"/>
      <c r="G165" s="9"/>
      <c r="H165" s="9"/>
      <c r="I165" s="7" t="s">
        <v>468</v>
      </c>
      <c r="J165" s="8">
        <v>115.0</v>
      </c>
    </row>
    <row r="166">
      <c r="A166" s="10"/>
      <c r="B166" s="32"/>
      <c r="C166" s="10"/>
      <c r="D166" s="10"/>
      <c r="E166" s="10"/>
      <c r="F166" s="10"/>
      <c r="G166" s="10"/>
      <c r="H166" s="10"/>
      <c r="I166" s="7" t="s">
        <v>245</v>
      </c>
      <c r="J166" s="8">
        <v>50.0</v>
      </c>
    </row>
    <row r="167">
      <c r="A167" s="5">
        <v>56.0</v>
      </c>
      <c r="B167" s="30" t="s">
        <v>796</v>
      </c>
      <c r="C167" s="5" t="s">
        <v>160</v>
      </c>
      <c r="D167" s="5" t="s">
        <v>797</v>
      </c>
      <c r="E167" s="5" t="s">
        <v>734</v>
      </c>
      <c r="F167" s="5" t="s">
        <v>776</v>
      </c>
      <c r="G167" s="5">
        <v>8.822636512E10</v>
      </c>
      <c r="H167" s="5" t="s">
        <v>13</v>
      </c>
      <c r="I167" s="7" t="s">
        <v>190</v>
      </c>
      <c r="J167" s="8">
        <v>350.0</v>
      </c>
    </row>
    <row r="168">
      <c r="A168" s="9"/>
      <c r="B168" s="31"/>
      <c r="C168" s="9"/>
      <c r="D168" s="9"/>
      <c r="E168" s="9"/>
      <c r="F168" s="9"/>
      <c r="G168" s="9"/>
      <c r="H168" s="9"/>
      <c r="I168" s="7" t="s">
        <v>468</v>
      </c>
      <c r="J168" s="8">
        <v>350.0</v>
      </c>
    </row>
    <row r="169">
      <c r="A169" s="10"/>
      <c r="B169" s="32"/>
      <c r="C169" s="10"/>
      <c r="D169" s="10"/>
      <c r="E169" s="10"/>
      <c r="F169" s="10"/>
      <c r="G169" s="10"/>
      <c r="H169" s="10"/>
      <c r="I169" s="7" t="s">
        <v>245</v>
      </c>
      <c r="J169" s="8">
        <v>150.0</v>
      </c>
    </row>
    <row r="170">
      <c r="A170" s="5">
        <v>57.0</v>
      </c>
      <c r="B170" s="30" t="s">
        <v>798</v>
      </c>
      <c r="C170" s="5" t="s">
        <v>160</v>
      </c>
      <c r="D170" s="5" t="s">
        <v>799</v>
      </c>
      <c r="E170" s="5" t="s">
        <v>734</v>
      </c>
      <c r="F170" s="5" t="s">
        <v>776</v>
      </c>
      <c r="G170" s="5">
        <v>8.822636512E10</v>
      </c>
      <c r="H170" s="5" t="s">
        <v>152</v>
      </c>
      <c r="I170" s="7" t="s">
        <v>190</v>
      </c>
      <c r="J170" s="8">
        <v>300.0</v>
      </c>
    </row>
    <row r="171">
      <c r="A171" s="9"/>
      <c r="B171" s="31"/>
      <c r="C171" s="9"/>
      <c r="D171" s="9"/>
      <c r="E171" s="9"/>
      <c r="F171" s="9"/>
      <c r="G171" s="9"/>
      <c r="H171" s="9"/>
      <c r="I171" s="7" t="s">
        <v>468</v>
      </c>
      <c r="J171" s="8">
        <v>300.0</v>
      </c>
    </row>
    <row r="172">
      <c r="A172" s="10"/>
      <c r="B172" s="32"/>
      <c r="C172" s="10"/>
      <c r="D172" s="10"/>
      <c r="E172" s="10"/>
      <c r="F172" s="10"/>
      <c r="G172" s="10"/>
      <c r="H172" s="10"/>
      <c r="I172" s="7" t="s">
        <v>245</v>
      </c>
      <c r="J172" s="8">
        <v>150.0</v>
      </c>
    </row>
    <row r="173">
      <c r="A173" s="5">
        <v>58.0</v>
      </c>
      <c r="B173" s="30" t="s">
        <v>800</v>
      </c>
      <c r="C173" s="5" t="s">
        <v>160</v>
      </c>
      <c r="D173" s="5" t="s">
        <v>801</v>
      </c>
      <c r="E173" s="5" t="s">
        <v>734</v>
      </c>
      <c r="F173" s="5" t="s">
        <v>776</v>
      </c>
      <c r="G173" s="5">
        <v>8.822636512E10</v>
      </c>
      <c r="H173" s="5" t="s">
        <v>802</v>
      </c>
      <c r="I173" s="7" t="s">
        <v>190</v>
      </c>
      <c r="J173" s="8">
        <v>250.0</v>
      </c>
    </row>
    <row r="174">
      <c r="A174" s="9"/>
      <c r="B174" s="31"/>
      <c r="C174" s="9"/>
      <c r="D174" s="9"/>
      <c r="E174" s="9"/>
      <c r="F174" s="9"/>
      <c r="G174" s="9"/>
      <c r="H174" s="9"/>
      <c r="I174" s="7" t="s">
        <v>468</v>
      </c>
      <c r="J174" s="8">
        <v>250.0</v>
      </c>
    </row>
    <row r="175">
      <c r="A175" s="10"/>
      <c r="B175" s="32"/>
      <c r="C175" s="10"/>
      <c r="D175" s="10"/>
      <c r="E175" s="10"/>
      <c r="F175" s="10"/>
      <c r="G175" s="10"/>
      <c r="H175" s="10"/>
      <c r="I175" s="7" t="s">
        <v>245</v>
      </c>
      <c r="J175" s="8">
        <v>135.0</v>
      </c>
    </row>
    <row r="176">
      <c r="A176" s="5">
        <v>59.0</v>
      </c>
      <c r="B176" s="30" t="s">
        <v>803</v>
      </c>
      <c r="C176" s="5" t="s">
        <v>160</v>
      </c>
      <c r="D176" s="5" t="s">
        <v>804</v>
      </c>
      <c r="E176" s="5" t="s">
        <v>734</v>
      </c>
      <c r="F176" s="5" t="s">
        <v>776</v>
      </c>
      <c r="G176" s="5">
        <v>8.822636512E10</v>
      </c>
      <c r="H176" s="5" t="s">
        <v>152</v>
      </c>
      <c r="I176" s="7" t="s">
        <v>190</v>
      </c>
      <c r="J176" s="8">
        <v>100.0</v>
      </c>
    </row>
    <row r="177">
      <c r="A177" s="9"/>
      <c r="B177" s="31"/>
      <c r="C177" s="9"/>
      <c r="D177" s="9"/>
      <c r="E177" s="9"/>
      <c r="F177" s="9"/>
      <c r="G177" s="9"/>
      <c r="H177" s="9"/>
      <c r="I177" s="7" t="s">
        <v>468</v>
      </c>
      <c r="J177" s="8">
        <v>100.0</v>
      </c>
    </row>
    <row r="178">
      <c r="A178" s="10"/>
      <c r="B178" s="32"/>
      <c r="C178" s="10"/>
      <c r="D178" s="10"/>
      <c r="E178" s="10"/>
      <c r="F178" s="10"/>
      <c r="G178" s="10"/>
      <c r="H178" s="10"/>
      <c r="I178" s="7" t="s">
        <v>245</v>
      </c>
      <c r="J178" s="8">
        <v>50.0</v>
      </c>
    </row>
    <row r="179">
      <c r="A179" s="5">
        <v>60.0</v>
      </c>
      <c r="B179" s="30" t="s">
        <v>805</v>
      </c>
      <c r="C179" s="5" t="s">
        <v>160</v>
      </c>
      <c r="D179" s="5" t="s">
        <v>806</v>
      </c>
      <c r="E179" s="5" t="s">
        <v>734</v>
      </c>
      <c r="F179" s="5" t="s">
        <v>776</v>
      </c>
      <c r="G179" s="5">
        <v>8.822636512E10</v>
      </c>
      <c r="H179" s="5" t="s">
        <v>177</v>
      </c>
      <c r="I179" s="7" t="s">
        <v>190</v>
      </c>
      <c r="J179" s="8">
        <v>110.0</v>
      </c>
    </row>
    <row r="180">
      <c r="A180" s="9"/>
      <c r="B180" s="31"/>
      <c r="C180" s="9"/>
      <c r="D180" s="9"/>
      <c r="E180" s="9"/>
      <c r="F180" s="9"/>
      <c r="G180" s="9"/>
      <c r="H180" s="9"/>
      <c r="I180" s="7" t="s">
        <v>468</v>
      </c>
      <c r="J180" s="8">
        <v>125.0</v>
      </c>
    </row>
    <row r="181">
      <c r="A181" s="10"/>
      <c r="B181" s="32"/>
      <c r="C181" s="10"/>
      <c r="D181" s="10"/>
      <c r="E181" s="10"/>
      <c r="F181" s="10"/>
      <c r="G181" s="10"/>
      <c r="H181" s="10"/>
      <c r="I181" s="7" t="s">
        <v>245</v>
      </c>
      <c r="J181" s="8">
        <v>75.0</v>
      </c>
    </row>
    <row r="182">
      <c r="A182" s="5">
        <v>61.0</v>
      </c>
      <c r="B182" s="30" t="s">
        <v>807</v>
      </c>
      <c r="C182" s="5" t="s">
        <v>160</v>
      </c>
      <c r="D182" s="5" t="s">
        <v>808</v>
      </c>
      <c r="E182" s="5" t="s">
        <v>734</v>
      </c>
      <c r="F182" s="5" t="s">
        <v>776</v>
      </c>
      <c r="G182" s="5">
        <v>8.822636512E10</v>
      </c>
      <c r="H182" s="5" t="s">
        <v>682</v>
      </c>
      <c r="I182" s="7" t="s">
        <v>190</v>
      </c>
      <c r="J182" s="8">
        <v>500.0</v>
      </c>
    </row>
    <row r="183">
      <c r="A183" s="9"/>
      <c r="B183" s="31"/>
      <c r="C183" s="9"/>
      <c r="D183" s="9"/>
      <c r="E183" s="9"/>
      <c r="F183" s="9"/>
      <c r="G183" s="9"/>
      <c r="H183" s="9"/>
      <c r="I183" s="7" t="s">
        <v>468</v>
      </c>
      <c r="J183" s="8">
        <v>500.0</v>
      </c>
    </row>
    <row r="184">
      <c r="A184" s="10"/>
      <c r="B184" s="32"/>
      <c r="C184" s="10"/>
      <c r="D184" s="10"/>
      <c r="E184" s="10"/>
      <c r="F184" s="10"/>
      <c r="G184" s="10"/>
      <c r="H184" s="10"/>
      <c r="I184" s="7" t="s">
        <v>245</v>
      </c>
      <c r="J184" s="8">
        <v>250.0</v>
      </c>
    </row>
    <row r="185">
      <c r="A185" s="5">
        <v>62.0</v>
      </c>
      <c r="B185" s="30" t="s">
        <v>809</v>
      </c>
      <c r="C185" s="5" t="s">
        <v>160</v>
      </c>
      <c r="D185" s="5" t="s">
        <v>192</v>
      </c>
      <c r="E185" s="5" t="s">
        <v>734</v>
      </c>
      <c r="F185" s="5" t="s">
        <v>776</v>
      </c>
      <c r="G185" s="5">
        <v>8.822636512E10</v>
      </c>
      <c r="H185" s="5" t="s">
        <v>682</v>
      </c>
      <c r="I185" s="7" t="s">
        <v>190</v>
      </c>
      <c r="J185" s="8">
        <v>300.0</v>
      </c>
    </row>
    <row r="186">
      <c r="A186" s="9"/>
      <c r="B186" s="31"/>
      <c r="C186" s="9"/>
      <c r="D186" s="9"/>
      <c r="E186" s="9"/>
      <c r="F186" s="9"/>
      <c r="G186" s="9"/>
      <c r="H186" s="9"/>
      <c r="I186" s="7" t="s">
        <v>468</v>
      </c>
      <c r="J186" s="8">
        <v>300.0</v>
      </c>
    </row>
    <row r="187">
      <c r="A187" s="10"/>
      <c r="B187" s="32"/>
      <c r="C187" s="10"/>
      <c r="D187" s="10"/>
      <c r="E187" s="10"/>
      <c r="F187" s="10"/>
      <c r="G187" s="10"/>
      <c r="H187" s="10"/>
      <c r="I187" s="7" t="s">
        <v>245</v>
      </c>
      <c r="J187" s="8">
        <v>150.0</v>
      </c>
    </row>
    <row r="188">
      <c r="A188" s="5">
        <v>63.0</v>
      </c>
      <c r="B188" s="30" t="s">
        <v>810</v>
      </c>
      <c r="C188" s="5" t="s">
        <v>160</v>
      </c>
      <c r="D188" s="5" t="s">
        <v>213</v>
      </c>
      <c r="E188" s="5" t="s">
        <v>734</v>
      </c>
      <c r="F188" s="5" t="s">
        <v>105</v>
      </c>
      <c r="G188" s="5">
        <v>8.5646177771E10</v>
      </c>
      <c r="H188" s="5" t="s">
        <v>682</v>
      </c>
      <c r="I188" s="7" t="s">
        <v>190</v>
      </c>
      <c r="J188" s="8" t="s">
        <v>84</v>
      </c>
    </row>
    <row r="189">
      <c r="A189" s="9"/>
      <c r="B189" s="31"/>
      <c r="C189" s="9"/>
      <c r="D189" s="9"/>
      <c r="E189" s="9"/>
      <c r="F189" s="9"/>
      <c r="G189" s="9"/>
      <c r="H189" s="9"/>
      <c r="I189" s="7" t="s">
        <v>468</v>
      </c>
      <c r="J189" s="8" t="s">
        <v>84</v>
      </c>
    </row>
    <row r="190">
      <c r="A190" s="10"/>
      <c r="B190" s="32"/>
      <c r="C190" s="10"/>
      <c r="D190" s="10"/>
      <c r="E190" s="10"/>
      <c r="F190" s="10"/>
      <c r="G190" s="10"/>
      <c r="H190" s="10"/>
      <c r="I190" s="7" t="s">
        <v>245</v>
      </c>
      <c r="J190" s="8">
        <v>500.0</v>
      </c>
    </row>
    <row r="191">
      <c r="A191" s="5">
        <v>64.0</v>
      </c>
      <c r="B191" s="30" t="s">
        <v>811</v>
      </c>
      <c r="C191" s="5" t="s">
        <v>160</v>
      </c>
      <c r="D191" s="5" t="s">
        <v>418</v>
      </c>
      <c r="E191" s="5" t="s">
        <v>812</v>
      </c>
      <c r="F191" s="5" t="s">
        <v>105</v>
      </c>
      <c r="G191" s="5">
        <v>8.5646177771E10</v>
      </c>
      <c r="H191" s="5" t="s">
        <v>682</v>
      </c>
      <c r="I191" s="7" t="s">
        <v>190</v>
      </c>
      <c r="J191" s="8" t="s">
        <v>84</v>
      </c>
    </row>
    <row r="192">
      <c r="A192" s="9"/>
      <c r="B192" s="31"/>
      <c r="C192" s="9"/>
      <c r="D192" s="9"/>
      <c r="E192" s="9"/>
      <c r="F192" s="9"/>
      <c r="G192" s="9"/>
      <c r="H192" s="9"/>
      <c r="I192" s="7" t="s">
        <v>468</v>
      </c>
      <c r="J192" s="8" t="s">
        <v>84</v>
      </c>
    </row>
    <row r="193">
      <c r="A193" s="10"/>
      <c r="B193" s="32"/>
      <c r="C193" s="10"/>
      <c r="D193" s="10"/>
      <c r="E193" s="10"/>
      <c r="F193" s="10"/>
      <c r="G193" s="10"/>
      <c r="H193" s="10"/>
      <c r="I193" s="7" t="s">
        <v>245</v>
      </c>
      <c r="J193" s="8">
        <v>500.0</v>
      </c>
    </row>
    <row r="194">
      <c r="A194" s="5">
        <v>65.0</v>
      </c>
      <c r="B194" s="30" t="s">
        <v>813</v>
      </c>
      <c r="C194" s="5" t="s">
        <v>160</v>
      </c>
      <c r="D194" s="5" t="s">
        <v>712</v>
      </c>
      <c r="E194" s="5" t="s">
        <v>734</v>
      </c>
      <c r="F194" s="5" t="s">
        <v>105</v>
      </c>
      <c r="G194" s="5">
        <v>8.5646177771E10</v>
      </c>
      <c r="H194" s="5" t="s">
        <v>682</v>
      </c>
      <c r="I194" s="7" t="s">
        <v>190</v>
      </c>
      <c r="J194" s="8" t="s">
        <v>84</v>
      </c>
    </row>
    <row r="195">
      <c r="A195" s="9"/>
      <c r="B195" s="31"/>
      <c r="C195" s="9"/>
      <c r="D195" s="9"/>
      <c r="E195" s="9"/>
      <c r="F195" s="9"/>
      <c r="G195" s="9"/>
      <c r="H195" s="9"/>
      <c r="I195" s="7" t="s">
        <v>468</v>
      </c>
      <c r="J195" s="8" t="s">
        <v>84</v>
      </c>
    </row>
    <row r="196">
      <c r="A196" s="10"/>
      <c r="B196" s="32"/>
      <c r="C196" s="10"/>
      <c r="D196" s="10"/>
      <c r="E196" s="10"/>
      <c r="F196" s="10"/>
      <c r="G196" s="10"/>
      <c r="H196" s="10"/>
      <c r="I196" s="7" t="s">
        <v>245</v>
      </c>
      <c r="J196" s="8">
        <v>350.0</v>
      </c>
    </row>
    <row r="197">
      <c r="A197" s="5">
        <v>66.0</v>
      </c>
      <c r="B197" s="30" t="s">
        <v>814</v>
      </c>
      <c r="C197" s="5" t="s">
        <v>160</v>
      </c>
      <c r="D197" s="5" t="s">
        <v>815</v>
      </c>
      <c r="E197" s="5" t="s">
        <v>816</v>
      </c>
      <c r="F197" s="5" t="s">
        <v>105</v>
      </c>
      <c r="G197" s="5">
        <v>8.5646177771E10</v>
      </c>
      <c r="H197" s="5" t="s">
        <v>682</v>
      </c>
      <c r="I197" s="7" t="s">
        <v>190</v>
      </c>
      <c r="J197" s="8" t="s">
        <v>196</v>
      </c>
    </row>
    <row r="198">
      <c r="A198" s="9"/>
      <c r="B198" s="31"/>
      <c r="C198" s="9"/>
      <c r="D198" s="9"/>
      <c r="E198" s="9"/>
      <c r="F198" s="9"/>
      <c r="G198" s="9"/>
      <c r="H198" s="9"/>
      <c r="I198" s="7" t="s">
        <v>468</v>
      </c>
      <c r="J198" s="8" t="s">
        <v>196</v>
      </c>
    </row>
    <row r="199">
      <c r="A199" s="10"/>
      <c r="B199" s="32"/>
      <c r="C199" s="10"/>
      <c r="D199" s="10"/>
      <c r="E199" s="10"/>
      <c r="F199" s="10"/>
      <c r="G199" s="10"/>
      <c r="H199" s="10"/>
      <c r="I199" s="7" t="s">
        <v>245</v>
      </c>
      <c r="J199" s="8">
        <v>450.0</v>
      </c>
    </row>
    <row r="200">
      <c r="A200" s="5">
        <v>67.0</v>
      </c>
      <c r="B200" s="30" t="s">
        <v>817</v>
      </c>
      <c r="C200" s="5" t="s">
        <v>160</v>
      </c>
      <c r="D200" s="5" t="s">
        <v>818</v>
      </c>
      <c r="E200" s="5" t="s">
        <v>819</v>
      </c>
      <c r="F200" s="5" t="s">
        <v>105</v>
      </c>
      <c r="G200" s="5">
        <v>8.5646177771E10</v>
      </c>
      <c r="H200" s="5" t="s">
        <v>682</v>
      </c>
      <c r="I200" s="7" t="s">
        <v>190</v>
      </c>
      <c r="J200" s="8" t="s">
        <v>565</v>
      </c>
    </row>
    <row r="201">
      <c r="A201" s="9"/>
      <c r="B201" s="31"/>
      <c r="C201" s="9"/>
      <c r="D201" s="9"/>
      <c r="E201" s="9"/>
      <c r="F201" s="9"/>
      <c r="G201" s="9"/>
      <c r="H201" s="9"/>
      <c r="I201" s="7" t="s">
        <v>468</v>
      </c>
      <c r="J201" s="8" t="s">
        <v>565</v>
      </c>
    </row>
    <row r="202">
      <c r="A202" s="10"/>
      <c r="B202" s="32"/>
      <c r="C202" s="10"/>
      <c r="D202" s="10"/>
      <c r="E202" s="10"/>
      <c r="F202" s="10"/>
      <c r="G202" s="10"/>
      <c r="H202" s="10"/>
      <c r="I202" s="7" t="s">
        <v>245</v>
      </c>
      <c r="J202" s="8">
        <v>450.0</v>
      </c>
    </row>
    <row r="203">
      <c r="A203" s="5">
        <v>68.0</v>
      </c>
      <c r="B203" s="30" t="s">
        <v>820</v>
      </c>
      <c r="C203" s="5" t="s">
        <v>160</v>
      </c>
      <c r="D203" s="5" t="s">
        <v>821</v>
      </c>
      <c r="E203" s="5" t="s">
        <v>734</v>
      </c>
      <c r="F203" s="5" t="s">
        <v>105</v>
      </c>
      <c r="G203" s="5">
        <v>8.5646177771E10</v>
      </c>
      <c r="H203" s="5" t="s">
        <v>682</v>
      </c>
      <c r="I203" s="7" t="s">
        <v>190</v>
      </c>
      <c r="J203" s="8" t="s">
        <v>18</v>
      </c>
    </row>
    <row r="204">
      <c r="A204" s="9"/>
      <c r="B204" s="31"/>
      <c r="C204" s="9"/>
      <c r="D204" s="9"/>
      <c r="E204" s="9"/>
      <c r="F204" s="9"/>
      <c r="G204" s="9"/>
      <c r="H204" s="9"/>
      <c r="I204" s="7" t="s">
        <v>468</v>
      </c>
      <c r="J204" s="8" t="s">
        <v>18</v>
      </c>
    </row>
    <row r="205">
      <c r="A205" s="10"/>
      <c r="B205" s="32"/>
      <c r="C205" s="10"/>
      <c r="D205" s="10"/>
      <c r="E205" s="10"/>
      <c r="F205" s="10"/>
      <c r="G205" s="10"/>
      <c r="H205" s="10"/>
      <c r="I205" s="7" t="s">
        <v>245</v>
      </c>
      <c r="J205" s="8">
        <v>300.0</v>
      </c>
    </row>
    <row r="206">
      <c r="A206" s="5">
        <v>69.0</v>
      </c>
      <c r="B206" s="30" t="s">
        <v>822</v>
      </c>
      <c r="C206" s="5" t="s">
        <v>160</v>
      </c>
      <c r="D206" s="5" t="s">
        <v>823</v>
      </c>
      <c r="E206" s="5" t="s">
        <v>816</v>
      </c>
      <c r="F206" s="5" t="s">
        <v>105</v>
      </c>
      <c r="G206" s="5">
        <v>8.5646177771E10</v>
      </c>
      <c r="H206" s="5" t="s">
        <v>682</v>
      </c>
      <c r="I206" s="7" t="s">
        <v>190</v>
      </c>
      <c r="J206" s="8" t="s">
        <v>65</v>
      </c>
    </row>
    <row r="207">
      <c r="A207" s="9"/>
      <c r="B207" s="31"/>
      <c r="C207" s="9"/>
      <c r="D207" s="9"/>
      <c r="E207" s="9"/>
      <c r="F207" s="9"/>
      <c r="G207" s="9"/>
      <c r="H207" s="9"/>
      <c r="I207" s="7" t="s">
        <v>468</v>
      </c>
      <c r="J207" s="8" t="s">
        <v>65</v>
      </c>
    </row>
    <row r="208">
      <c r="A208" s="10"/>
      <c r="B208" s="32"/>
      <c r="C208" s="10"/>
      <c r="D208" s="10"/>
      <c r="E208" s="10"/>
      <c r="F208" s="10"/>
      <c r="G208" s="10"/>
      <c r="H208" s="10"/>
      <c r="I208" s="7" t="s">
        <v>245</v>
      </c>
      <c r="J208" s="8">
        <v>300.0</v>
      </c>
    </row>
    <row r="209">
      <c r="A209" s="5">
        <v>70.0</v>
      </c>
      <c r="B209" s="53" t="s">
        <v>824</v>
      </c>
      <c r="C209" s="5" t="s">
        <v>160</v>
      </c>
      <c r="D209" s="5" t="s">
        <v>825</v>
      </c>
      <c r="E209" s="5" t="s">
        <v>812</v>
      </c>
      <c r="F209" s="5" t="s">
        <v>105</v>
      </c>
      <c r="G209" s="5">
        <v>8.5646177771E10</v>
      </c>
      <c r="H209" s="5" t="s">
        <v>682</v>
      </c>
      <c r="I209" s="7" t="s">
        <v>190</v>
      </c>
      <c r="J209" s="8" t="s">
        <v>65</v>
      </c>
    </row>
    <row r="210">
      <c r="A210" s="9"/>
      <c r="B210" s="31"/>
      <c r="C210" s="9"/>
      <c r="D210" s="9"/>
      <c r="E210" s="9"/>
      <c r="F210" s="9"/>
      <c r="G210" s="9"/>
      <c r="H210" s="9"/>
      <c r="I210" s="7" t="s">
        <v>468</v>
      </c>
      <c r="J210" s="8" t="s">
        <v>65</v>
      </c>
    </row>
    <row r="211">
      <c r="A211" s="10"/>
      <c r="B211" s="32"/>
      <c r="C211" s="10"/>
      <c r="D211" s="10"/>
      <c r="E211" s="10"/>
      <c r="F211" s="10"/>
      <c r="G211" s="10"/>
      <c r="H211" s="10"/>
      <c r="I211" s="7" t="s">
        <v>245</v>
      </c>
      <c r="J211" s="8">
        <v>200.0</v>
      </c>
    </row>
    <row r="212">
      <c r="A212" s="5">
        <v>71.0</v>
      </c>
      <c r="B212" s="30" t="s">
        <v>826</v>
      </c>
      <c r="C212" s="5" t="s">
        <v>160</v>
      </c>
      <c r="D212" s="5" t="s">
        <v>827</v>
      </c>
      <c r="E212" s="5" t="s">
        <v>685</v>
      </c>
      <c r="F212" s="5" t="s">
        <v>105</v>
      </c>
      <c r="G212" s="5">
        <v>8.5646177771E10</v>
      </c>
      <c r="H212" s="5" t="s">
        <v>682</v>
      </c>
      <c r="I212" s="7" t="s">
        <v>190</v>
      </c>
      <c r="J212" s="8">
        <v>800.0</v>
      </c>
    </row>
    <row r="213">
      <c r="A213" s="9"/>
      <c r="B213" s="31"/>
      <c r="C213" s="9"/>
      <c r="D213" s="9"/>
      <c r="E213" s="9"/>
      <c r="F213" s="9"/>
      <c r="G213" s="9"/>
      <c r="H213" s="9"/>
      <c r="I213" s="7" t="s">
        <v>468</v>
      </c>
      <c r="J213" s="8">
        <v>800.0</v>
      </c>
    </row>
    <row r="214">
      <c r="A214" s="10"/>
      <c r="B214" s="32"/>
      <c r="C214" s="10"/>
      <c r="D214" s="10"/>
      <c r="E214" s="10"/>
      <c r="F214" s="10"/>
      <c r="G214" s="10"/>
      <c r="H214" s="10"/>
      <c r="I214" s="7" t="s">
        <v>245</v>
      </c>
      <c r="J214" s="8">
        <v>200.0</v>
      </c>
    </row>
    <row r="215">
      <c r="A215" s="5">
        <v>72.0</v>
      </c>
      <c r="B215" s="30" t="s">
        <v>828</v>
      </c>
      <c r="C215" s="5" t="s">
        <v>160</v>
      </c>
      <c r="D215" s="5" t="s">
        <v>829</v>
      </c>
      <c r="E215" s="5" t="s">
        <v>812</v>
      </c>
      <c r="F215" s="5" t="s">
        <v>105</v>
      </c>
      <c r="G215" s="5">
        <v>8.5646177771E10</v>
      </c>
      <c r="H215" s="5" t="s">
        <v>682</v>
      </c>
      <c r="I215" s="7" t="s">
        <v>190</v>
      </c>
      <c r="J215" s="8">
        <v>500.0</v>
      </c>
    </row>
    <row r="216">
      <c r="A216" s="9"/>
      <c r="B216" s="31"/>
      <c r="C216" s="9"/>
      <c r="D216" s="9"/>
      <c r="E216" s="9"/>
      <c r="F216" s="9"/>
      <c r="G216" s="9"/>
      <c r="H216" s="9"/>
      <c r="I216" s="7" t="s">
        <v>468</v>
      </c>
      <c r="J216" s="8">
        <v>500.0</v>
      </c>
    </row>
    <row r="217">
      <c r="A217" s="10"/>
      <c r="B217" s="32"/>
      <c r="C217" s="10"/>
      <c r="D217" s="10"/>
      <c r="E217" s="10"/>
      <c r="F217" s="10"/>
      <c r="G217" s="10"/>
      <c r="H217" s="10"/>
      <c r="I217" s="7" t="s">
        <v>245</v>
      </c>
      <c r="J217" s="8">
        <v>100.0</v>
      </c>
    </row>
    <row r="218">
      <c r="A218" s="5">
        <v>73.0</v>
      </c>
      <c r="B218" s="30" t="s">
        <v>830</v>
      </c>
      <c r="C218" s="5" t="s">
        <v>160</v>
      </c>
      <c r="D218" s="5" t="s">
        <v>831</v>
      </c>
      <c r="E218" s="5" t="s">
        <v>734</v>
      </c>
      <c r="F218" s="5" t="s">
        <v>105</v>
      </c>
      <c r="G218" s="5">
        <v>8.5646177771E10</v>
      </c>
      <c r="H218" s="5" t="s">
        <v>682</v>
      </c>
      <c r="I218" s="7" t="s">
        <v>190</v>
      </c>
      <c r="J218" s="8">
        <v>500.0</v>
      </c>
    </row>
    <row r="219">
      <c r="A219" s="9"/>
      <c r="B219" s="31"/>
      <c r="C219" s="9"/>
      <c r="D219" s="9"/>
      <c r="E219" s="9"/>
      <c r="F219" s="9"/>
      <c r="G219" s="9"/>
      <c r="H219" s="9"/>
      <c r="I219" s="7" t="s">
        <v>468</v>
      </c>
      <c r="J219" s="8">
        <v>500.0</v>
      </c>
    </row>
    <row r="220">
      <c r="A220" s="10"/>
      <c r="B220" s="32"/>
      <c r="C220" s="10"/>
      <c r="D220" s="10"/>
      <c r="E220" s="10"/>
      <c r="F220" s="10"/>
      <c r="G220" s="10"/>
      <c r="H220" s="10"/>
      <c r="I220" s="7" t="s">
        <v>245</v>
      </c>
      <c r="J220" s="8">
        <v>100.0</v>
      </c>
    </row>
    <row r="221">
      <c r="A221" s="5">
        <v>74.0</v>
      </c>
      <c r="B221" s="30" t="s">
        <v>832</v>
      </c>
      <c r="C221" s="5" t="s">
        <v>14</v>
      </c>
      <c r="D221" s="5" t="s">
        <v>833</v>
      </c>
      <c r="E221" s="5" t="s">
        <v>734</v>
      </c>
      <c r="F221" s="5" t="s">
        <v>105</v>
      </c>
      <c r="G221" s="5">
        <v>8.5646177771E10</v>
      </c>
      <c r="H221" s="5" t="s">
        <v>682</v>
      </c>
      <c r="I221" s="5" t="s">
        <v>14</v>
      </c>
      <c r="J221" s="23" t="s">
        <v>22</v>
      </c>
    </row>
    <row r="222">
      <c r="A222" s="9"/>
      <c r="B222" s="31"/>
      <c r="C222" s="9"/>
      <c r="D222" s="9"/>
      <c r="E222" s="9"/>
      <c r="F222" s="9"/>
      <c r="G222" s="9"/>
      <c r="H222" s="9"/>
      <c r="I222" s="9"/>
      <c r="J222" s="9"/>
    </row>
    <row r="223">
      <c r="A223" s="10"/>
      <c r="B223" s="32"/>
      <c r="C223" s="10"/>
      <c r="D223" s="10"/>
      <c r="E223" s="10"/>
      <c r="F223" s="10"/>
      <c r="G223" s="10"/>
      <c r="H223" s="10"/>
      <c r="I223" s="10"/>
      <c r="J223" s="9"/>
    </row>
    <row r="224">
      <c r="A224" s="5">
        <v>75.0</v>
      </c>
      <c r="B224" s="30" t="s">
        <v>834</v>
      </c>
      <c r="C224" s="5" t="s">
        <v>14</v>
      </c>
      <c r="D224" s="5" t="s">
        <v>306</v>
      </c>
      <c r="E224" s="5" t="s">
        <v>734</v>
      </c>
      <c r="F224" s="5" t="s">
        <v>105</v>
      </c>
      <c r="G224" s="5">
        <v>8.5646177771E10</v>
      </c>
      <c r="H224" s="5" t="s">
        <v>682</v>
      </c>
      <c r="I224" s="5" t="s">
        <v>14</v>
      </c>
      <c r="J224" s="5" t="s">
        <v>22</v>
      </c>
    </row>
    <row r="225">
      <c r="A225" s="9"/>
      <c r="B225" s="31"/>
      <c r="C225" s="9"/>
      <c r="D225" s="9"/>
      <c r="E225" s="9"/>
      <c r="F225" s="9"/>
      <c r="G225" s="9"/>
      <c r="H225" s="9"/>
      <c r="I225" s="9"/>
      <c r="J225" s="9"/>
    </row>
    <row r="226">
      <c r="A226" s="10"/>
      <c r="B226" s="32"/>
      <c r="C226" s="10"/>
      <c r="D226" s="10"/>
      <c r="E226" s="10"/>
      <c r="F226" s="10"/>
      <c r="G226" s="10"/>
      <c r="H226" s="10"/>
      <c r="I226" s="10"/>
      <c r="J226" s="9"/>
    </row>
    <row r="227">
      <c r="A227" s="5">
        <v>76.0</v>
      </c>
      <c r="B227" s="30" t="s">
        <v>835</v>
      </c>
      <c r="C227" s="5" t="s">
        <v>14</v>
      </c>
      <c r="D227" s="5" t="s">
        <v>836</v>
      </c>
      <c r="E227" s="5" t="s">
        <v>816</v>
      </c>
      <c r="F227" s="5" t="s">
        <v>105</v>
      </c>
      <c r="G227" s="5">
        <v>8.5646177771E10</v>
      </c>
      <c r="H227" s="5" t="s">
        <v>682</v>
      </c>
      <c r="I227" s="5" t="s">
        <v>14</v>
      </c>
      <c r="J227" s="5" t="s">
        <v>83</v>
      </c>
    </row>
    <row r="228">
      <c r="A228" s="9"/>
      <c r="B228" s="31"/>
      <c r="C228" s="9"/>
      <c r="D228" s="9"/>
      <c r="E228" s="9"/>
      <c r="F228" s="9"/>
      <c r="G228" s="9"/>
      <c r="H228" s="9"/>
      <c r="I228" s="9"/>
      <c r="J228" s="9"/>
    </row>
    <row r="229">
      <c r="A229" s="10"/>
      <c r="B229" s="32"/>
      <c r="C229" s="10"/>
      <c r="D229" s="10"/>
      <c r="E229" s="10"/>
      <c r="F229" s="10"/>
      <c r="G229" s="10"/>
      <c r="H229" s="10"/>
      <c r="I229" s="10"/>
      <c r="J229" s="9"/>
    </row>
    <row r="230">
      <c r="A230" s="5">
        <v>77.0</v>
      </c>
      <c r="B230" s="30" t="s">
        <v>837</v>
      </c>
      <c r="C230" s="5" t="s">
        <v>14</v>
      </c>
      <c r="D230" s="5" t="s">
        <v>838</v>
      </c>
      <c r="E230" s="5" t="s">
        <v>816</v>
      </c>
      <c r="F230" s="5" t="s">
        <v>105</v>
      </c>
      <c r="G230" s="5">
        <v>8.5646177771E10</v>
      </c>
      <c r="H230" s="5" t="s">
        <v>682</v>
      </c>
      <c r="I230" s="5" t="s">
        <v>14</v>
      </c>
      <c r="J230" s="5">
        <v>500.0</v>
      </c>
    </row>
    <row r="231">
      <c r="A231" s="9"/>
      <c r="B231" s="31"/>
      <c r="C231" s="9"/>
      <c r="D231" s="9"/>
      <c r="E231" s="9"/>
      <c r="F231" s="9"/>
      <c r="G231" s="9"/>
      <c r="H231" s="9"/>
      <c r="I231" s="9"/>
      <c r="J231" s="9"/>
    </row>
    <row r="232">
      <c r="A232" s="10"/>
      <c r="B232" s="32"/>
      <c r="C232" s="10"/>
      <c r="D232" s="10"/>
      <c r="E232" s="10"/>
      <c r="F232" s="10"/>
      <c r="G232" s="10"/>
      <c r="H232" s="10"/>
      <c r="I232" s="10"/>
      <c r="J232" s="9"/>
    </row>
    <row r="233">
      <c r="A233" s="5">
        <v>78.0</v>
      </c>
      <c r="B233" s="53" t="s">
        <v>839</v>
      </c>
      <c r="C233" s="5" t="s">
        <v>14</v>
      </c>
      <c r="D233" s="5" t="s">
        <v>840</v>
      </c>
      <c r="E233" s="5" t="s">
        <v>812</v>
      </c>
      <c r="F233" s="5" t="s">
        <v>105</v>
      </c>
      <c r="G233" s="5">
        <v>8.5646177771E10</v>
      </c>
      <c r="H233" s="5" t="s">
        <v>682</v>
      </c>
      <c r="I233" s="5" t="s">
        <v>14</v>
      </c>
      <c r="J233" s="5">
        <v>350.0</v>
      </c>
    </row>
    <row r="234">
      <c r="A234" s="9"/>
      <c r="B234" s="31"/>
      <c r="C234" s="9"/>
      <c r="D234" s="9"/>
      <c r="E234" s="9"/>
      <c r="F234" s="9"/>
      <c r="G234" s="9"/>
      <c r="H234" s="9"/>
      <c r="I234" s="9"/>
      <c r="J234" s="9"/>
    </row>
    <row r="235">
      <c r="A235" s="10"/>
      <c r="B235" s="32"/>
      <c r="C235" s="10"/>
      <c r="D235" s="10"/>
      <c r="E235" s="10"/>
      <c r="F235" s="10"/>
      <c r="G235" s="10"/>
      <c r="H235" s="10"/>
      <c r="I235" s="10"/>
      <c r="J235" s="9"/>
    </row>
    <row r="236">
      <c r="A236" s="5">
        <v>79.0</v>
      </c>
      <c r="B236" s="30" t="s">
        <v>841</v>
      </c>
      <c r="C236" s="5" t="s">
        <v>14</v>
      </c>
      <c r="D236" s="5" t="s">
        <v>842</v>
      </c>
      <c r="E236" s="5" t="s">
        <v>816</v>
      </c>
      <c r="F236" s="5" t="s">
        <v>105</v>
      </c>
      <c r="G236" s="5">
        <v>8.5646177771E10</v>
      </c>
      <c r="H236" s="5" t="s">
        <v>682</v>
      </c>
      <c r="I236" s="5" t="s">
        <v>14</v>
      </c>
      <c r="J236" s="5">
        <v>350.0</v>
      </c>
    </row>
    <row r="237">
      <c r="A237" s="9"/>
      <c r="B237" s="31"/>
      <c r="C237" s="9"/>
      <c r="D237" s="9"/>
      <c r="E237" s="9"/>
      <c r="F237" s="9"/>
      <c r="G237" s="9"/>
      <c r="H237" s="9"/>
      <c r="I237" s="9"/>
      <c r="J237" s="9"/>
    </row>
    <row r="238">
      <c r="A238" s="10"/>
      <c r="B238" s="32"/>
      <c r="C238" s="10"/>
      <c r="D238" s="10"/>
      <c r="E238" s="10"/>
      <c r="F238" s="10"/>
      <c r="G238" s="10"/>
      <c r="H238" s="10"/>
      <c r="I238" s="10"/>
      <c r="J238" s="9"/>
    </row>
    <row r="239">
      <c r="A239" s="5">
        <v>80.0</v>
      </c>
      <c r="B239" s="53" t="s">
        <v>843</v>
      </c>
      <c r="C239" s="5" t="s">
        <v>14</v>
      </c>
      <c r="D239" s="5" t="s">
        <v>844</v>
      </c>
      <c r="E239" s="5" t="s">
        <v>816</v>
      </c>
      <c r="F239" s="5" t="s">
        <v>105</v>
      </c>
      <c r="G239" s="5">
        <v>8.5646177771E10</v>
      </c>
      <c r="H239" s="5" t="s">
        <v>682</v>
      </c>
      <c r="I239" s="5" t="s">
        <v>14</v>
      </c>
      <c r="J239" s="5">
        <v>350.0</v>
      </c>
    </row>
    <row r="240">
      <c r="A240" s="9"/>
      <c r="B240" s="31"/>
      <c r="C240" s="9"/>
      <c r="D240" s="9"/>
      <c r="E240" s="9"/>
      <c r="F240" s="9"/>
      <c r="G240" s="9"/>
      <c r="H240" s="9"/>
      <c r="I240" s="9"/>
      <c r="J240" s="9"/>
    </row>
    <row r="241">
      <c r="A241" s="10"/>
      <c r="B241" s="32"/>
      <c r="C241" s="10"/>
      <c r="D241" s="10"/>
      <c r="E241" s="10"/>
      <c r="F241" s="10"/>
      <c r="G241" s="10"/>
      <c r="H241" s="10"/>
      <c r="I241" s="10"/>
      <c r="J241" s="9"/>
    </row>
    <row r="242">
      <c r="A242" s="5">
        <v>81.0</v>
      </c>
      <c r="B242" s="30" t="s">
        <v>845</v>
      </c>
      <c r="C242" s="5" t="s">
        <v>160</v>
      </c>
      <c r="D242" s="5" t="s">
        <v>846</v>
      </c>
      <c r="E242" s="5" t="s">
        <v>734</v>
      </c>
      <c r="F242" s="5" t="s">
        <v>105</v>
      </c>
      <c r="G242" s="5">
        <v>8.1212340056E10</v>
      </c>
      <c r="H242" s="5" t="s">
        <v>28</v>
      </c>
      <c r="I242" s="7" t="s">
        <v>190</v>
      </c>
      <c r="J242" s="8" t="s">
        <v>53</v>
      </c>
    </row>
    <row r="243">
      <c r="A243" s="9"/>
      <c r="B243" s="31"/>
      <c r="C243" s="9"/>
      <c r="D243" s="9"/>
      <c r="E243" s="9"/>
      <c r="F243" s="9"/>
      <c r="G243" s="9"/>
      <c r="H243" s="9"/>
      <c r="I243" s="7" t="s">
        <v>468</v>
      </c>
      <c r="J243" s="8" t="s">
        <v>53</v>
      </c>
    </row>
    <row r="244">
      <c r="A244" s="10"/>
      <c r="B244" s="32"/>
      <c r="C244" s="10"/>
      <c r="D244" s="10"/>
      <c r="E244" s="10"/>
      <c r="F244" s="10"/>
      <c r="G244" s="10"/>
      <c r="H244" s="10"/>
      <c r="I244" s="7" t="s">
        <v>245</v>
      </c>
      <c r="J244" s="7" t="s">
        <v>32</v>
      </c>
    </row>
    <row r="245">
      <c r="A245" s="5">
        <v>82.0</v>
      </c>
      <c r="B245" s="30" t="s">
        <v>847</v>
      </c>
      <c r="C245" s="5" t="s">
        <v>160</v>
      </c>
      <c r="D245" s="5" t="s">
        <v>848</v>
      </c>
      <c r="E245" s="5" t="s">
        <v>849</v>
      </c>
      <c r="F245" s="5" t="s">
        <v>850</v>
      </c>
      <c r="G245" s="5">
        <v>8.1908825198E10</v>
      </c>
      <c r="H245" s="5" t="s">
        <v>682</v>
      </c>
      <c r="I245" s="7" t="s">
        <v>190</v>
      </c>
      <c r="J245" s="8" t="s">
        <v>48</v>
      </c>
    </row>
    <row r="246">
      <c r="A246" s="9"/>
      <c r="B246" s="31"/>
      <c r="C246" s="9"/>
      <c r="D246" s="9"/>
      <c r="E246" s="9"/>
      <c r="F246" s="9"/>
      <c r="G246" s="9"/>
      <c r="H246" s="9"/>
      <c r="I246" s="7" t="s">
        <v>468</v>
      </c>
      <c r="J246" s="8" t="s">
        <v>48</v>
      </c>
    </row>
    <row r="247">
      <c r="A247" s="10"/>
      <c r="B247" s="32"/>
      <c r="C247" s="10"/>
      <c r="D247" s="10"/>
      <c r="E247" s="10"/>
      <c r="F247" s="10"/>
      <c r="G247" s="10"/>
      <c r="H247" s="10"/>
      <c r="I247" s="7" t="s">
        <v>245</v>
      </c>
      <c r="J247" s="7" t="s">
        <v>32</v>
      </c>
    </row>
    <row r="248">
      <c r="A248" s="5">
        <v>83.0</v>
      </c>
      <c r="B248" s="30" t="s">
        <v>851</v>
      </c>
      <c r="C248" s="5" t="s">
        <v>160</v>
      </c>
      <c r="D248" s="5" t="s">
        <v>852</v>
      </c>
      <c r="E248" s="5" t="s">
        <v>734</v>
      </c>
      <c r="F248" s="18" t="s">
        <v>853</v>
      </c>
      <c r="G248" s="28"/>
      <c r="H248" s="5" t="s">
        <v>854</v>
      </c>
      <c r="I248" s="5" t="s">
        <v>855</v>
      </c>
      <c r="J248" s="5">
        <v>100.0</v>
      </c>
    </row>
    <row r="249">
      <c r="A249" s="9"/>
      <c r="B249" s="31"/>
      <c r="C249" s="9"/>
      <c r="D249" s="9"/>
      <c r="E249" s="9"/>
      <c r="F249" s="19"/>
      <c r="H249" s="9"/>
      <c r="I249" s="9"/>
      <c r="J249" s="9"/>
    </row>
    <row r="250">
      <c r="A250" s="10"/>
      <c r="B250" s="32"/>
      <c r="C250" s="10"/>
      <c r="D250" s="10"/>
      <c r="E250" s="10"/>
      <c r="F250" s="19"/>
      <c r="H250" s="10"/>
      <c r="I250" s="10"/>
      <c r="J250" s="9"/>
    </row>
    <row r="251">
      <c r="A251" s="5">
        <v>84.0</v>
      </c>
      <c r="B251" s="30" t="s">
        <v>856</v>
      </c>
      <c r="C251" s="5" t="s">
        <v>160</v>
      </c>
      <c r="D251" s="5" t="s">
        <v>857</v>
      </c>
      <c r="E251" s="5" t="s">
        <v>734</v>
      </c>
      <c r="F251" s="18" t="s">
        <v>853</v>
      </c>
      <c r="G251" s="28"/>
      <c r="H251" s="5" t="s">
        <v>581</v>
      </c>
      <c r="I251" s="5" t="s">
        <v>468</v>
      </c>
      <c r="J251" s="5">
        <v>250.0</v>
      </c>
    </row>
    <row r="252">
      <c r="A252" s="9"/>
      <c r="B252" s="31"/>
      <c r="C252" s="9"/>
      <c r="D252" s="9"/>
      <c r="E252" s="9"/>
      <c r="F252" s="19"/>
      <c r="H252" s="9"/>
      <c r="I252" s="9"/>
      <c r="J252" s="9"/>
    </row>
    <row r="253">
      <c r="A253" s="10"/>
      <c r="B253" s="32"/>
      <c r="C253" s="10"/>
      <c r="D253" s="10"/>
      <c r="E253" s="10"/>
      <c r="F253" s="19"/>
      <c r="H253" s="10"/>
      <c r="I253" s="10"/>
      <c r="J253" s="9"/>
    </row>
    <row r="254">
      <c r="A254" s="5">
        <v>85.0</v>
      </c>
      <c r="B254" s="30" t="s">
        <v>858</v>
      </c>
      <c r="C254" s="5" t="s">
        <v>160</v>
      </c>
      <c r="D254" s="5" t="s">
        <v>859</v>
      </c>
      <c r="E254" s="5" t="s">
        <v>734</v>
      </c>
      <c r="F254" s="18" t="s">
        <v>853</v>
      </c>
      <c r="G254" s="28"/>
      <c r="H254" s="5" t="s">
        <v>860</v>
      </c>
      <c r="I254" s="7" t="s">
        <v>861</v>
      </c>
      <c r="J254" s="8">
        <v>400.0</v>
      </c>
    </row>
    <row r="255">
      <c r="A255" s="9"/>
      <c r="B255" s="31"/>
      <c r="C255" s="9"/>
      <c r="D255" s="9"/>
      <c r="E255" s="9"/>
      <c r="F255" s="19"/>
      <c r="H255" s="9"/>
      <c r="I255" s="7" t="s">
        <v>862</v>
      </c>
      <c r="J255" s="8" t="s">
        <v>372</v>
      </c>
    </row>
    <row r="256">
      <c r="A256" s="10"/>
      <c r="B256" s="32"/>
      <c r="C256" s="10"/>
      <c r="D256" s="10"/>
      <c r="E256" s="10"/>
      <c r="F256" s="19"/>
      <c r="H256" s="10"/>
      <c r="I256" s="7" t="s">
        <v>863</v>
      </c>
      <c r="J256" s="8" t="s">
        <v>864</v>
      </c>
    </row>
    <row r="257">
      <c r="A257" s="5">
        <v>86.0</v>
      </c>
      <c r="B257" s="30" t="s">
        <v>865</v>
      </c>
      <c r="C257" s="5" t="s">
        <v>160</v>
      </c>
      <c r="D257" s="5" t="s">
        <v>866</v>
      </c>
      <c r="E257" s="5" t="s">
        <v>734</v>
      </c>
      <c r="F257" s="18" t="s">
        <v>853</v>
      </c>
      <c r="G257" s="28"/>
      <c r="H257" s="5" t="s">
        <v>867</v>
      </c>
      <c r="I257" s="7" t="s">
        <v>190</v>
      </c>
      <c r="J257" s="8">
        <v>650.0</v>
      </c>
    </row>
    <row r="258">
      <c r="A258" s="9"/>
      <c r="B258" s="31"/>
      <c r="C258" s="9"/>
      <c r="D258" s="9"/>
      <c r="E258" s="9"/>
      <c r="F258" s="19"/>
      <c r="H258" s="9"/>
      <c r="I258" s="7" t="s">
        <v>468</v>
      </c>
      <c r="J258" s="8">
        <v>650.0</v>
      </c>
    </row>
    <row r="259">
      <c r="A259" s="10"/>
      <c r="B259" s="32"/>
      <c r="C259" s="10"/>
      <c r="D259" s="10"/>
      <c r="E259" s="10"/>
      <c r="F259" s="19"/>
      <c r="H259" s="10"/>
      <c r="I259" s="7" t="s">
        <v>245</v>
      </c>
      <c r="J259" s="8">
        <v>100.0</v>
      </c>
    </row>
    <row r="260">
      <c r="A260" s="5">
        <v>87.0</v>
      </c>
      <c r="B260" s="30" t="s">
        <v>868</v>
      </c>
      <c r="C260" s="5" t="s">
        <v>160</v>
      </c>
      <c r="D260" s="5" t="s">
        <v>869</v>
      </c>
      <c r="E260" s="5" t="s">
        <v>734</v>
      </c>
      <c r="F260" s="18" t="s">
        <v>853</v>
      </c>
      <c r="G260" s="28"/>
      <c r="H260" s="5" t="s">
        <v>682</v>
      </c>
      <c r="I260" s="7" t="s">
        <v>190</v>
      </c>
      <c r="J260" s="8" t="s">
        <v>83</v>
      </c>
    </row>
    <row r="261">
      <c r="A261" s="9"/>
      <c r="B261" s="31"/>
      <c r="C261" s="9"/>
      <c r="D261" s="9"/>
      <c r="E261" s="9"/>
      <c r="F261" s="19"/>
      <c r="H261" s="9"/>
      <c r="I261" s="7" t="s">
        <v>468</v>
      </c>
      <c r="J261" s="8" t="s">
        <v>83</v>
      </c>
    </row>
    <row r="262">
      <c r="A262" s="10"/>
      <c r="B262" s="32"/>
      <c r="C262" s="10"/>
      <c r="D262" s="10"/>
      <c r="E262" s="10"/>
      <c r="F262" s="19"/>
      <c r="H262" s="10"/>
      <c r="I262" s="7" t="s">
        <v>245</v>
      </c>
      <c r="J262" s="8">
        <v>500.0</v>
      </c>
    </row>
    <row r="263">
      <c r="A263" s="5">
        <v>88.0</v>
      </c>
      <c r="B263" s="30" t="s">
        <v>870</v>
      </c>
      <c r="C263" s="5" t="s">
        <v>160</v>
      </c>
      <c r="D263" s="5" t="s">
        <v>220</v>
      </c>
      <c r="E263" s="5" t="s">
        <v>685</v>
      </c>
      <c r="F263" s="18" t="s">
        <v>853</v>
      </c>
      <c r="G263" s="28"/>
      <c r="H263" s="5" t="s">
        <v>682</v>
      </c>
      <c r="I263" s="5" t="s">
        <v>871</v>
      </c>
      <c r="J263" s="5" t="s">
        <v>53</v>
      </c>
    </row>
    <row r="264">
      <c r="A264" s="9"/>
      <c r="B264" s="31"/>
      <c r="C264" s="9"/>
      <c r="D264" s="9"/>
      <c r="E264" s="9"/>
      <c r="F264" s="19"/>
      <c r="H264" s="9"/>
      <c r="I264" s="9"/>
      <c r="J264" s="9"/>
    </row>
    <row r="265">
      <c r="A265" s="10"/>
      <c r="B265" s="32"/>
      <c r="C265" s="10"/>
      <c r="D265" s="10"/>
      <c r="E265" s="10"/>
      <c r="F265" s="19"/>
      <c r="H265" s="10"/>
      <c r="I265" s="9"/>
      <c r="J265" s="9"/>
    </row>
    <row r="266">
      <c r="A266" s="5">
        <v>89.0</v>
      </c>
      <c r="B266" s="30" t="s">
        <v>872</v>
      </c>
      <c r="C266" s="5" t="s">
        <v>160</v>
      </c>
      <c r="D266" s="5" t="s">
        <v>708</v>
      </c>
      <c r="E266" s="5" t="s">
        <v>734</v>
      </c>
      <c r="F266" s="18" t="s">
        <v>853</v>
      </c>
      <c r="G266" s="28"/>
      <c r="H266" s="5" t="s">
        <v>682</v>
      </c>
      <c r="I266" s="5" t="s">
        <v>873</v>
      </c>
      <c r="J266" s="5" t="s">
        <v>874</v>
      </c>
    </row>
    <row r="267">
      <c r="A267" s="9"/>
      <c r="B267" s="31"/>
      <c r="C267" s="9"/>
      <c r="D267" s="9"/>
      <c r="E267" s="9"/>
      <c r="F267" s="19"/>
      <c r="H267" s="9"/>
      <c r="I267" s="9"/>
      <c r="J267" s="9"/>
    </row>
    <row r="268">
      <c r="A268" s="10"/>
      <c r="B268" s="32"/>
      <c r="C268" s="10"/>
      <c r="D268" s="10"/>
      <c r="E268" s="10"/>
      <c r="F268" s="19"/>
      <c r="H268" s="10"/>
      <c r="I268" s="9"/>
      <c r="J268" s="9"/>
    </row>
    <row r="269">
      <c r="A269" s="5">
        <v>90.0</v>
      </c>
      <c r="B269" s="30" t="s">
        <v>875</v>
      </c>
      <c r="C269" s="5" t="s">
        <v>160</v>
      </c>
      <c r="D269" s="5" t="s">
        <v>876</v>
      </c>
      <c r="E269" s="5" t="s">
        <v>734</v>
      </c>
      <c r="F269" s="18" t="s">
        <v>853</v>
      </c>
      <c r="G269" s="28"/>
      <c r="H269" s="5" t="s">
        <v>867</v>
      </c>
      <c r="I269" s="5" t="s">
        <v>873</v>
      </c>
      <c r="J269" s="5">
        <v>750.0</v>
      </c>
    </row>
    <row r="270">
      <c r="A270" s="9"/>
      <c r="B270" s="31"/>
      <c r="C270" s="9"/>
      <c r="D270" s="9"/>
      <c r="E270" s="9"/>
      <c r="F270" s="19"/>
      <c r="H270" s="9"/>
      <c r="I270" s="9"/>
      <c r="J270" s="9"/>
    </row>
    <row r="271">
      <c r="A271" s="10"/>
      <c r="B271" s="32"/>
      <c r="C271" s="10"/>
      <c r="D271" s="10"/>
      <c r="E271" s="10"/>
      <c r="F271" s="19"/>
      <c r="H271" s="10"/>
      <c r="I271" s="9"/>
      <c r="J271" s="9"/>
    </row>
    <row r="272">
      <c r="A272" s="5">
        <v>91.0</v>
      </c>
      <c r="B272" s="30" t="s">
        <v>877</v>
      </c>
      <c r="C272" s="5" t="s">
        <v>160</v>
      </c>
      <c r="D272" s="5" t="s">
        <v>878</v>
      </c>
      <c r="E272" s="5" t="s">
        <v>734</v>
      </c>
      <c r="F272" s="18" t="s">
        <v>853</v>
      </c>
      <c r="G272" s="28"/>
      <c r="H272" s="5" t="s">
        <v>879</v>
      </c>
      <c r="I272" s="7" t="s">
        <v>190</v>
      </c>
      <c r="J272" s="8">
        <v>250.0</v>
      </c>
    </row>
    <row r="273">
      <c r="A273" s="9"/>
      <c r="B273" s="31"/>
      <c r="C273" s="9"/>
      <c r="D273" s="9"/>
      <c r="E273" s="9"/>
      <c r="F273" s="19"/>
      <c r="H273" s="9"/>
      <c r="I273" s="7" t="s">
        <v>468</v>
      </c>
      <c r="J273" s="8">
        <v>300.0</v>
      </c>
    </row>
    <row r="274">
      <c r="A274" s="10"/>
      <c r="B274" s="32"/>
      <c r="C274" s="10"/>
      <c r="D274" s="10"/>
      <c r="E274" s="10"/>
      <c r="F274" s="19"/>
      <c r="H274" s="10"/>
      <c r="I274" s="7" t="s">
        <v>245</v>
      </c>
      <c r="J274" s="8">
        <v>100.0</v>
      </c>
    </row>
    <row r="275">
      <c r="A275" s="5">
        <v>92.0</v>
      </c>
      <c r="B275" s="30" t="s">
        <v>880</v>
      </c>
      <c r="C275" s="5" t="s">
        <v>160</v>
      </c>
      <c r="D275" s="5" t="s">
        <v>881</v>
      </c>
      <c r="E275" s="5" t="s">
        <v>734</v>
      </c>
      <c r="F275" s="5" t="s">
        <v>105</v>
      </c>
      <c r="G275" s="5">
        <v>8.5756410742E10</v>
      </c>
      <c r="H275" s="5" t="s">
        <v>264</v>
      </c>
      <c r="I275" s="7" t="s">
        <v>190</v>
      </c>
      <c r="J275" s="8">
        <v>800.0</v>
      </c>
    </row>
    <row r="276">
      <c r="A276" s="9"/>
      <c r="B276" s="31"/>
      <c r="C276" s="9"/>
      <c r="D276" s="9"/>
      <c r="E276" s="9"/>
      <c r="F276" s="9"/>
      <c r="G276" s="9"/>
      <c r="H276" s="9"/>
      <c r="I276" s="7" t="s">
        <v>468</v>
      </c>
      <c r="J276" s="8">
        <v>800.0</v>
      </c>
    </row>
    <row r="277">
      <c r="A277" s="10"/>
      <c r="B277" s="32"/>
      <c r="C277" s="10"/>
      <c r="D277" s="10"/>
      <c r="E277" s="10"/>
      <c r="F277" s="10"/>
      <c r="G277" s="10"/>
      <c r="H277" s="10"/>
      <c r="I277" s="7" t="s">
        <v>245</v>
      </c>
      <c r="J277" s="8">
        <v>350.0</v>
      </c>
    </row>
    <row r="278">
      <c r="A278" s="5">
        <v>93.0</v>
      </c>
      <c r="B278" s="30" t="s">
        <v>882</v>
      </c>
      <c r="C278" s="5" t="s">
        <v>160</v>
      </c>
      <c r="D278" s="5" t="s">
        <v>883</v>
      </c>
      <c r="E278" s="5" t="s">
        <v>734</v>
      </c>
      <c r="F278" s="18" t="s">
        <v>853</v>
      </c>
      <c r="G278" s="28"/>
      <c r="H278" s="5" t="s">
        <v>122</v>
      </c>
      <c r="I278" s="5" t="s">
        <v>873</v>
      </c>
      <c r="J278" s="5">
        <v>150.0</v>
      </c>
    </row>
    <row r="279">
      <c r="A279" s="9"/>
      <c r="B279" s="31"/>
      <c r="C279" s="9"/>
      <c r="D279" s="9"/>
      <c r="E279" s="9"/>
      <c r="F279" s="19"/>
      <c r="H279" s="9"/>
      <c r="I279" s="9"/>
      <c r="J279" s="9"/>
    </row>
    <row r="280">
      <c r="A280" s="10"/>
      <c r="B280" s="32"/>
      <c r="C280" s="10"/>
      <c r="D280" s="10"/>
      <c r="E280" s="10"/>
      <c r="F280" s="19"/>
      <c r="H280" s="10"/>
      <c r="I280" s="9"/>
      <c r="J280" s="9"/>
    </row>
    <row r="281">
      <c r="A281" s="5">
        <v>94.0</v>
      </c>
      <c r="B281" s="30" t="s">
        <v>884</v>
      </c>
      <c r="C281" s="5" t="s">
        <v>160</v>
      </c>
      <c r="D281" s="5" t="s">
        <v>213</v>
      </c>
      <c r="E281" s="5" t="s">
        <v>734</v>
      </c>
      <c r="F281" s="5" t="s">
        <v>885</v>
      </c>
      <c r="G281" s="5">
        <v>8.158115521E9</v>
      </c>
      <c r="H281" s="5" t="s">
        <v>28</v>
      </c>
      <c r="I281" s="7" t="s">
        <v>190</v>
      </c>
      <c r="J281" s="8" t="s">
        <v>210</v>
      </c>
    </row>
    <row r="282">
      <c r="A282" s="9"/>
      <c r="B282" s="31"/>
      <c r="C282" s="9"/>
      <c r="D282" s="9"/>
      <c r="E282" s="9"/>
      <c r="F282" s="9"/>
      <c r="G282" s="9"/>
      <c r="H282" s="9"/>
      <c r="I282" s="7" t="s">
        <v>468</v>
      </c>
      <c r="J282" s="8" t="s">
        <v>283</v>
      </c>
    </row>
    <row r="283">
      <c r="A283" s="10"/>
      <c r="B283" s="32"/>
      <c r="C283" s="10"/>
      <c r="D283" s="10"/>
      <c r="E283" s="10"/>
      <c r="F283" s="10"/>
      <c r="G283" s="10"/>
      <c r="H283" s="10"/>
      <c r="I283" s="7" t="s">
        <v>245</v>
      </c>
      <c r="J283" s="8" t="s">
        <v>84</v>
      </c>
    </row>
    <row r="284">
      <c r="A284" s="5">
        <v>95.0</v>
      </c>
      <c r="B284" s="5" t="s">
        <v>886</v>
      </c>
      <c r="C284" s="5" t="s">
        <v>160</v>
      </c>
      <c r="D284" s="5" t="s">
        <v>887</v>
      </c>
      <c r="E284" s="5" t="s">
        <v>734</v>
      </c>
      <c r="F284" s="5" t="s">
        <v>888</v>
      </c>
      <c r="G284" s="5">
        <v>8.1317775794E10</v>
      </c>
      <c r="H284" s="5" t="s">
        <v>682</v>
      </c>
      <c r="I284" s="7" t="s">
        <v>190</v>
      </c>
      <c r="J284" s="8" t="s">
        <v>217</v>
      </c>
    </row>
    <row r="285">
      <c r="A285" s="9"/>
      <c r="B285" s="9"/>
      <c r="C285" s="9"/>
      <c r="D285" s="9"/>
      <c r="E285" s="9"/>
      <c r="F285" s="9"/>
      <c r="G285" s="9"/>
      <c r="H285" s="9"/>
      <c r="I285" s="7" t="s">
        <v>468</v>
      </c>
      <c r="J285" s="8" t="s">
        <v>38</v>
      </c>
    </row>
    <row r="286">
      <c r="A286" s="10"/>
      <c r="B286" s="9"/>
      <c r="C286" s="9"/>
      <c r="D286" s="9"/>
      <c r="E286" s="9"/>
      <c r="F286" s="9"/>
      <c r="G286" s="9"/>
      <c r="H286" s="9"/>
      <c r="I286" s="7" t="s">
        <v>245</v>
      </c>
      <c r="J286" s="8" t="s">
        <v>126</v>
      </c>
    </row>
    <row r="287">
      <c r="A287" s="5">
        <v>96.0</v>
      </c>
      <c r="B287" s="9"/>
      <c r="C287" s="9"/>
      <c r="D287" s="9"/>
      <c r="E287" s="9"/>
      <c r="F287" s="9"/>
      <c r="G287" s="9"/>
      <c r="H287" s="9"/>
      <c r="I287" s="7" t="s">
        <v>889</v>
      </c>
      <c r="J287" s="8" t="s">
        <v>57</v>
      </c>
    </row>
    <row r="288">
      <c r="A288" s="9"/>
      <c r="B288" s="9"/>
      <c r="C288" s="9"/>
      <c r="D288" s="9"/>
      <c r="E288" s="9"/>
      <c r="F288" s="9"/>
      <c r="G288" s="9"/>
      <c r="H288" s="9"/>
      <c r="I288" s="7" t="s">
        <v>94</v>
      </c>
      <c r="J288" s="8" t="s">
        <v>53</v>
      </c>
    </row>
    <row r="289">
      <c r="A289" s="10"/>
      <c r="B289" s="9"/>
      <c r="C289" s="9"/>
      <c r="D289" s="9"/>
      <c r="E289" s="9"/>
      <c r="F289" s="9"/>
      <c r="G289" s="9"/>
      <c r="H289" s="9"/>
      <c r="I289" s="7" t="s">
        <v>890</v>
      </c>
      <c r="J289" s="8" t="s">
        <v>39</v>
      </c>
    </row>
    <row r="290">
      <c r="A290" s="5">
        <v>97.0</v>
      </c>
      <c r="B290" s="30" t="s">
        <v>891</v>
      </c>
      <c r="C290" s="5" t="s">
        <v>160</v>
      </c>
      <c r="D290" s="5" t="s">
        <v>892</v>
      </c>
      <c r="E290" s="5" t="s">
        <v>734</v>
      </c>
      <c r="F290" s="5" t="s">
        <v>105</v>
      </c>
      <c r="G290" s="5">
        <v>8.571940144E10</v>
      </c>
      <c r="H290" s="5" t="s">
        <v>187</v>
      </c>
      <c r="I290" s="7" t="s">
        <v>190</v>
      </c>
      <c r="J290" s="8" t="s">
        <v>133</v>
      </c>
    </row>
    <row r="291">
      <c r="A291" s="9"/>
      <c r="B291" s="31"/>
      <c r="C291" s="9"/>
      <c r="D291" s="9"/>
      <c r="E291" s="9"/>
      <c r="F291" s="9"/>
      <c r="G291" s="9"/>
      <c r="H291" s="9"/>
      <c r="I291" s="7" t="s">
        <v>468</v>
      </c>
      <c r="J291" s="8" t="s">
        <v>57</v>
      </c>
    </row>
    <row r="292">
      <c r="A292" s="10"/>
      <c r="B292" s="32"/>
      <c r="C292" s="10"/>
      <c r="D292" s="10"/>
      <c r="E292" s="10"/>
      <c r="F292" s="10"/>
      <c r="G292" s="10"/>
      <c r="H292" s="10"/>
      <c r="I292" s="7" t="s">
        <v>245</v>
      </c>
      <c r="J292" s="8">
        <v>750.0</v>
      </c>
    </row>
    <row r="293">
      <c r="A293" s="5">
        <v>98.0</v>
      </c>
      <c r="B293" s="30" t="s">
        <v>893</v>
      </c>
      <c r="C293" s="5" t="s">
        <v>160</v>
      </c>
      <c r="D293" s="5" t="s">
        <v>894</v>
      </c>
      <c r="E293" s="5" t="s">
        <v>734</v>
      </c>
      <c r="F293" s="5" t="s">
        <v>105</v>
      </c>
      <c r="G293" s="5">
        <v>8.571940144E10</v>
      </c>
      <c r="H293" s="5" t="s">
        <v>187</v>
      </c>
      <c r="I293" s="7" t="s">
        <v>190</v>
      </c>
      <c r="J293" s="8" t="s">
        <v>22</v>
      </c>
    </row>
    <row r="294">
      <c r="A294" s="9"/>
      <c r="B294" s="31"/>
      <c r="C294" s="9"/>
      <c r="D294" s="9"/>
      <c r="E294" s="9"/>
      <c r="F294" s="9"/>
      <c r="G294" s="9"/>
      <c r="H294" s="9"/>
      <c r="I294" s="7" t="s">
        <v>468</v>
      </c>
      <c r="J294" s="8" t="s">
        <v>133</v>
      </c>
    </row>
    <row r="295">
      <c r="A295" s="10"/>
      <c r="B295" s="32"/>
      <c r="C295" s="10"/>
      <c r="D295" s="10"/>
      <c r="E295" s="10"/>
      <c r="F295" s="9"/>
      <c r="G295" s="10"/>
      <c r="H295" s="10"/>
      <c r="I295" s="7" t="s">
        <v>245</v>
      </c>
      <c r="J295" s="8">
        <v>750.0</v>
      </c>
    </row>
    <row r="296">
      <c r="A296" s="5">
        <v>99.0</v>
      </c>
      <c r="B296" s="30" t="s">
        <v>788</v>
      </c>
      <c r="C296" s="5" t="s">
        <v>160</v>
      </c>
      <c r="D296" s="5" t="s">
        <v>895</v>
      </c>
      <c r="E296" s="5" t="s">
        <v>734</v>
      </c>
      <c r="F296" s="5" t="s">
        <v>105</v>
      </c>
      <c r="G296" s="5">
        <v>8.571940144E10</v>
      </c>
      <c r="H296" s="5" t="s">
        <v>187</v>
      </c>
      <c r="I296" s="7" t="s">
        <v>190</v>
      </c>
      <c r="J296" s="8" t="s">
        <v>22</v>
      </c>
    </row>
    <row r="297">
      <c r="A297" s="9"/>
      <c r="B297" s="31"/>
      <c r="C297" s="9"/>
      <c r="D297" s="9"/>
      <c r="E297" s="9"/>
      <c r="F297" s="9"/>
      <c r="G297" s="9"/>
      <c r="H297" s="9"/>
      <c r="I297" s="7" t="s">
        <v>468</v>
      </c>
      <c r="J297" s="8" t="s">
        <v>133</v>
      </c>
    </row>
    <row r="298">
      <c r="A298" s="10"/>
      <c r="B298" s="32"/>
      <c r="C298" s="10"/>
      <c r="D298" s="10"/>
      <c r="E298" s="10"/>
      <c r="F298" s="9"/>
      <c r="G298" s="10"/>
      <c r="H298" s="10"/>
      <c r="I298" s="7" t="s">
        <v>245</v>
      </c>
      <c r="J298" s="8">
        <v>750.0</v>
      </c>
    </row>
    <row r="299">
      <c r="A299" s="5">
        <v>100.0</v>
      </c>
      <c r="B299" s="30" t="s">
        <v>896</v>
      </c>
      <c r="C299" s="5" t="s">
        <v>160</v>
      </c>
      <c r="D299" s="5" t="s">
        <v>897</v>
      </c>
      <c r="E299" s="5" t="s">
        <v>734</v>
      </c>
      <c r="F299" s="5" t="s">
        <v>105</v>
      </c>
      <c r="G299" s="5">
        <v>8.571940144E10</v>
      </c>
      <c r="H299" s="5" t="s">
        <v>898</v>
      </c>
      <c r="I299" s="7" t="s">
        <v>190</v>
      </c>
      <c r="J299" s="8" t="s">
        <v>133</v>
      </c>
    </row>
    <row r="300">
      <c r="A300" s="9"/>
      <c r="B300" s="31"/>
      <c r="C300" s="9"/>
      <c r="D300" s="9"/>
      <c r="E300" s="9"/>
      <c r="F300" s="9"/>
      <c r="G300" s="9"/>
      <c r="H300" s="9"/>
      <c r="I300" s="7" t="s">
        <v>468</v>
      </c>
      <c r="J300" s="8" t="s">
        <v>57</v>
      </c>
    </row>
    <row r="301">
      <c r="A301" s="10"/>
      <c r="B301" s="32"/>
      <c r="C301" s="10"/>
      <c r="D301" s="10"/>
      <c r="E301" s="10"/>
      <c r="F301" s="9"/>
      <c r="G301" s="10"/>
      <c r="H301" s="10"/>
      <c r="I301" s="7" t="s">
        <v>245</v>
      </c>
      <c r="J301" s="8">
        <v>750.0</v>
      </c>
    </row>
    <row r="302">
      <c r="A302" s="5">
        <v>101.0</v>
      </c>
      <c r="B302" s="30" t="s">
        <v>899</v>
      </c>
      <c r="C302" s="5" t="s">
        <v>160</v>
      </c>
      <c r="D302" s="5" t="s">
        <v>600</v>
      </c>
      <c r="E302" s="5" t="s">
        <v>734</v>
      </c>
      <c r="F302" s="5" t="s">
        <v>105</v>
      </c>
      <c r="G302" s="5">
        <v>8.571940144E10</v>
      </c>
      <c r="H302" s="5" t="s">
        <v>898</v>
      </c>
      <c r="I302" s="7" t="s">
        <v>190</v>
      </c>
      <c r="J302" s="8">
        <v>600.0</v>
      </c>
    </row>
    <row r="303">
      <c r="A303" s="9"/>
      <c r="B303" s="31"/>
      <c r="C303" s="9"/>
      <c r="D303" s="9"/>
      <c r="E303" s="9"/>
      <c r="F303" s="9"/>
      <c r="G303" s="9"/>
      <c r="H303" s="9"/>
      <c r="I303" s="7" t="s">
        <v>468</v>
      </c>
      <c r="J303" s="8">
        <v>700.0</v>
      </c>
    </row>
    <row r="304">
      <c r="A304" s="10"/>
      <c r="B304" s="32"/>
      <c r="C304" s="10"/>
      <c r="D304" s="10"/>
      <c r="E304" s="10"/>
      <c r="F304" s="9"/>
      <c r="G304" s="10"/>
      <c r="H304" s="10"/>
      <c r="I304" s="7" t="s">
        <v>245</v>
      </c>
      <c r="J304" s="8">
        <v>150.0</v>
      </c>
    </row>
    <row r="305">
      <c r="A305" s="5">
        <v>102.0</v>
      </c>
      <c r="B305" s="30" t="s">
        <v>900</v>
      </c>
      <c r="C305" s="5" t="s">
        <v>160</v>
      </c>
      <c r="D305" s="5" t="s">
        <v>901</v>
      </c>
      <c r="E305" s="5" t="s">
        <v>734</v>
      </c>
      <c r="F305" s="5" t="s">
        <v>105</v>
      </c>
      <c r="G305" s="5">
        <v>8.571940144E10</v>
      </c>
      <c r="H305" s="5" t="s">
        <v>898</v>
      </c>
      <c r="I305" s="7" t="s">
        <v>190</v>
      </c>
      <c r="J305" s="8" t="s">
        <v>22</v>
      </c>
    </row>
    <row r="306">
      <c r="A306" s="9"/>
      <c r="B306" s="31"/>
      <c r="C306" s="9"/>
      <c r="D306" s="9"/>
      <c r="E306" s="9"/>
      <c r="F306" s="9"/>
      <c r="G306" s="9"/>
      <c r="H306" s="9"/>
      <c r="I306" s="7" t="s">
        <v>468</v>
      </c>
      <c r="J306" s="8" t="s">
        <v>133</v>
      </c>
    </row>
    <row r="307">
      <c r="A307" s="10"/>
      <c r="B307" s="32"/>
      <c r="C307" s="10"/>
      <c r="D307" s="10"/>
      <c r="E307" s="10"/>
      <c r="F307" s="9"/>
      <c r="G307" s="10"/>
      <c r="H307" s="10"/>
      <c r="I307" s="7" t="s">
        <v>245</v>
      </c>
      <c r="J307" s="8">
        <v>750.0</v>
      </c>
    </row>
    <row r="308">
      <c r="A308" s="5">
        <v>103.0</v>
      </c>
      <c r="B308" s="30" t="s">
        <v>902</v>
      </c>
      <c r="C308" s="5" t="s">
        <v>160</v>
      </c>
      <c r="D308" s="5" t="s">
        <v>903</v>
      </c>
      <c r="E308" s="5" t="s">
        <v>734</v>
      </c>
      <c r="F308" s="5" t="s">
        <v>105</v>
      </c>
      <c r="G308" s="5">
        <v>8.571940144E10</v>
      </c>
      <c r="H308" s="5" t="s">
        <v>898</v>
      </c>
      <c r="I308" s="7" t="s">
        <v>190</v>
      </c>
      <c r="J308" s="8" t="s">
        <v>133</v>
      </c>
    </row>
    <row r="309">
      <c r="A309" s="9"/>
      <c r="B309" s="31"/>
      <c r="C309" s="9"/>
      <c r="D309" s="9"/>
      <c r="E309" s="9"/>
      <c r="F309" s="9"/>
      <c r="G309" s="9"/>
      <c r="H309" s="9"/>
      <c r="I309" s="7" t="s">
        <v>468</v>
      </c>
      <c r="J309" s="8" t="s">
        <v>57</v>
      </c>
    </row>
    <row r="310">
      <c r="A310" s="10"/>
      <c r="B310" s="32"/>
      <c r="C310" s="10"/>
      <c r="D310" s="10"/>
      <c r="E310" s="10"/>
      <c r="F310" s="9"/>
      <c r="G310" s="10"/>
      <c r="H310" s="10"/>
      <c r="I310" s="7" t="s">
        <v>245</v>
      </c>
      <c r="J310" s="8">
        <v>750.0</v>
      </c>
    </row>
    <row r="311">
      <c r="A311" s="5">
        <v>104.0</v>
      </c>
      <c r="B311" s="30" t="s">
        <v>904</v>
      </c>
      <c r="C311" s="5" t="s">
        <v>160</v>
      </c>
      <c r="D311" s="5" t="s">
        <v>793</v>
      </c>
      <c r="E311" s="5" t="s">
        <v>734</v>
      </c>
      <c r="F311" s="5" t="s">
        <v>105</v>
      </c>
      <c r="G311" s="5">
        <v>8.571940144E10</v>
      </c>
      <c r="H311" s="5" t="s">
        <v>602</v>
      </c>
      <c r="I311" s="7" t="s">
        <v>190</v>
      </c>
      <c r="J311" s="54">
        <v>2000000.0</v>
      </c>
    </row>
    <row r="312">
      <c r="A312" s="9"/>
      <c r="B312" s="31"/>
      <c r="C312" s="9"/>
      <c r="D312" s="9"/>
      <c r="E312" s="9"/>
      <c r="F312" s="9"/>
      <c r="G312" s="9"/>
      <c r="H312" s="9"/>
      <c r="I312" s="7" t="s">
        <v>468</v>
      </c>
      <c r="J312" s="54">
        <v>3000000.0</v>
      </c>
    </row>
    <row r="313">
      <c r="A313" s="10"/>
      <c r="B313" s="32"/>
      <c r="C313" s="10"/>
      <c r="D313" s="10"/>
      <c r="E313" s="10"/>
      <c r="F313" s="9"/>
      <c r="G313" s="10"/>
      <c r="H313" s="10"/>
      <c r="I313" s="7" t="s">
        <v>245</v>
      </c>
      <c r="J313" s="54">
        <v>750000.0</v>
      </c>
    </row>
    <row r="314">
      <c r="A314" s="5">
        <v>105.0</v>
      </c>
      <c r="B314" s="30" t="s">
        <v>905</v>
      </c>
      <c r="C314" s="5" t="s">
        <v>160</v>
      </c>
      <c r="D314" s="5" t="s">
        <v>906</v>
      </c>
      <c r="E314" s="5" t="s">
        <v>734</v>
      </c>
      <c r="F314" s="5" t="s">
        <v>105</v>
      </c>
      <c r="G314" s="5">
        <v>8.571940144E10</v>
      </c>
      <c r="H314" s="5" t="s">
        <v>602</v>
      </c>
      <c r="I314" s="7" t="s">
        <v>190</v>
      </c>
      <c r="J314" s="54">
        <v>600000.0</v>
      </c>
    </row>
    <row r="315">
      <c r="A315" s="9"/>
      <c r="B315" s="31"/>
      <c r="C315" s="9"/>
      <c r="D315" s="9"/>
      <c r="E315" s="9"/>
      <c r="F315" s="9"/>
      <c r="G315" s="9"/>
      <c r="H315" s="9"/>
      <c r="I315" s="7" t="s">
        <v>468</v>
      </c>
      <c r="J315" s="54">
        <v>700000.0</v>
      </c>
    </row>
    <row r="316">
      <c r="A316" s="10"/>
      <c r="B316" s="32"/>
      <c r="C316" s="10"/>
      <c r="D316" s="10"/>
      <c r="E316" s="10"/>
      <c r="F316" s="9"/>
      <c r="G316" s="10"/>
      <c r="H316" s="10"/>
      <c r="I316" s="7" t="s">
        <v>245</v>
      </c>
      <c r="J316" s="54">
        <v>150000.0</v>
      </c>
    </row>
    <row r="317">
      <c r="A317" s="5">
        <v>106.0</v>
      </c>
      <c r="B317" s="30" t="s">
        <v>907</v>
      </c>
      <c r="C317" s="5" t="s">
        <v>160</v>
      </c>
      <c r="D317" s="5" t="s">
        <v>908</v>
      </c>
      <c r="E317" s="5" t="s">
        <v>734</v>
      </c>
      <c r="F317" s="5" t="s">
        <v>105</v>
      </c>
      <c r="G317" s="5">
        <v>8.571940144E10</v>
      </c>
      <c r="H317" s="5" t="s">
        <v>602</v>
      </c>
      <c r="I317" s="7" t="s">
        <v>190</v>
      </c>
      <c r="J317" s="54">
        <v>2000000.0</v>
      </c>
    </row>
    <row r="318">
      <c r="A318" s="9"/>
      <c r="B318" s="31"/>
      <c r="C318" s="9"/>
      <c r="D318" s="9"/>
      <c r="E318" s="9"/>
      <c r="F318" s="9"/>
      <c r="G318" s="9"/>
      <c r="H318" s="9"/>
      <c r="I318" s="7" t="s">
        <v>468</v>
      </c>
      <c r="J318" s="54">
        <v>3000000.0</v>
      </c>
    </row>
    <row r="319">
      <c r="A319" s="10"/>
      <c r="B319" s="32"/>
      <c r="C319" s="10"/>
      <c r="D319" s="10"/>
      <c r="E319" s="10"/>
      <c r="F319" s="9"/>
      <c r="G319" s="10"/>
      <c r="H319" s="10"/>
      <c r="I319" s="7" t="s">
        <v>245</v>
      </c>
      <c r="J319" s="54">
        <v>750000.0</v>
      </c>
    </row>
    <row r="320">
      <c r="A320" s="5">
        <v>107.0</v>
      </c>
      <c r="B320" s="30" t="s">
        <v>909</v>
      </c>
      <c r="C320" s="5" t="s">
        <v>160</v>
      </c>
      <c r="D320" s="5" t="s">
        <v>910</v>
      </c>
      <c r="E320" s="5" t="s">
        <v>734</v>
      </c>
      <c r="F320" s="5" t="s">
        <v>105</v>
      </c>
      <c r="G320" s="5">
        <v>8.571940144E10</v>
      </c>
      <c r="H320" s="5" t="s">
        <v>602</v>
      </c>
      <c r="I320" s="7" t="s">
        <v>190</v>
      </c>
      <c r="J320" s="54">
        <v>2000000.0</v>
      </c>
    </row>
    <row r="321">
      <c r="A321" s="9"/>
      <c r="B321" s="31"/>
      <c r="C321" s="9"/>
      <c r="D321" s="9"/>
      <c r="E321" s="9"/>
      <c r="F321" s="9"/>
      <c r="G321" s="9"/>
      <c r="H321" s="9"/>
      <c r="I321" s="7" t="s">
        <v>468</v>
      </c>
      <c r="J321" s="54">
        <v>3000000.0</v>
      </c>
    </row>
    <row r="322">
      <c r="A322" s="10"/>
      <c r="B322" s="32"/>
      <c r="C322" s="10"/>
      <c r="D322" s="10"/>
      <c r="E322" s="10"/>
      <c r="F322" s="9"/>
      <c r="G322" s="10"/>
      <c r="H322" s="10"/>
      <c r="I322" s="7" t="s">
        <v>245</v>
      </c>
      <c r="J322" s="54">
        <v>750000.0</v>
      </c>
    </row>
    <row r="323">
      <c r="A323" s="5">
        <v>108.0</v>
      </c>
      <c r="B323" s="30" t="s">
        <v>911</v>
      </c>
      <c r="C323" s="5" t="s">
        <v>160</v>
      </c>
      <c r="D323" s="5" t="s">
        <v>912</v>
      </c>
      <c r="E323" s="5" t="s">
        <v>734</v>
      </c>
      <c r="F323" s="5" t="s">
        <v>105</v>
      </c>
      <c r="G323" s="5">
        <v>8.571940144E10</v>
      </c>
      <c r="H323" s="5" t="s">
        <v>355</v>
      </c>
      <c r="I323" s="7" t="s">
        <v>190</v>
      </c>
      <c r="J323" s="54">
        <v>4500000.0</v>
      </c>
    </row>
    <row r="324">
      <c r="A324" s="9"/>
      <c r="B324" s="31"/>
      <c r="C324" s="9"/>
      <c r="D324" s="9"/>
      <c r="E324" s="9"/>
      <c r="F324" s="9"/>
      <c r="G324" s="9"/>
      <c r="H324" s="9"/>
      <c r="I324" s="7" t="s">
        <v>468</v>
      </c>
      <c r="J324" s="54">
        <v>5000000.0</v>
      </c>
    </row>
    <row r="325">
      <c r="A325" s="10"/>
      <c r="B325" s="32"/>
      <c r="C325" s="10"/>
      <c r="D325" s="10"/>
      <c r="E325" s="10"/>
      <c r="F325" s="9"/>
      <c r="G325" s="10"/>
      <c r="H325" s="10"/>
      <c r="I325" s="7" t="s">
        <v>245</v>
      </c>
      <c r="J325" s="54">
        <v>750000.0</v>
      </c>
    </row>
    <row r="326">
      <c r="A326" s="5">
        <v>109.0</v>
      </c>
      <c r="B326" s="30" t="s">
        <v>913</v>
      </c>
      <c r="C326" s="5" t="s">
        <v>160</v>
      </c>
      <c r="D326" s="5" t="s">
        <v>768</v>
      </c>
      <c r="E326" s="5" t="s">
        <v>734</v>
      </c>
      <c r="F326" s="5" t="s">
        <v>105</v>
      </c>
      <c r="G326" s="5">
        <v>8.571940144E10</v>
      </c>
      <c r="H326" s="5" t="s">
        <v>355</v>
      </c>
      <c r="I326" s="7" t="s">
        <v>190</v>
      </c>
      <c r="J326" s="54">
        <v>3000000.0</v>
      </c>
    </row>
    <row r="327">
      <c r="A327" s="9"/>
      <c r="B327" s="31"/>
      <c r="C327" s="9"/>
      <c r="D327" s="9"/>
      <c r="E327" s="9"/>
      <c r="F327" s="9"/>
      <c r="G327" s="9"/>
      <c r="H327" s="9"/>
      <c r="I327" s="7" t="s">
        <v>468</v>
      </c>
      <c r="J327" s="7" t="s">
        <v>914</v>
      </c>
    </row>
    <row r="328">
      <c r="A328" s="10"/>
      <c r="B328" s="32"/>
      <c r="C328" s="10"/>
      <c r="D328" s="10"/>
      <c r="E328" s="10"/>
      <c r="F328" s="9"/>
      <c r="G328" s="10"/>
      <c r="H328" s="10"/>
      <c r="I328" s="7" t="s">
        <v>245</v>
      </c>
      <c r="J328" s="54">
        <v>750000.0</v>
      </c>
    </row>
    <row r="329">
      <c r="A329" s="5">
        <v>110.0</v>
      </c>
      <c r="B329" s="30" t="s">
        <v>915</v>
      </c>
      <c r="C329" s="5" t="s">
        <v>160</v>
      </c>
      <c r="D329" s="5" t="s">
        <v>916</v>
      </c>
      <c r="E329" s="5" t="s">
        <v>734</v>
      </c>
      <c r="F329" s="5" t="s">
        <v>105</v>
      </c>
      <c r="G329" s="5">
        <v>8.571940144E10</v>
      </c>
      <c r="H329" s="5" t="s">
        <v>355</v>
      </c>
      <c r="I329" s="7" t="s">
        <v>190</v>
      </c>
      <c r="J329" s="54">
        <v>3000000.0</v>
      </c>
    </row>
    <row r="330">
      <c r="A330" s="9"/>
      <c r="B330" s="31"/>
      <c r="C330" s="9"/>
      <c r="D330" s="9"/>
      <c r="E330" s="9"/>
      <c r="F330" s="9"/>
      <c r="G330" s="9"/>
      <c r="H330" s="9"/>
      <c r="I330" s="7" t="s">
        <v>468</v>
      </c>
      <c r="J330" s="54">
        <v>3500000.0</v>
      </c>
    </row>
    <row r="331">
      <c r="A331" s="10"/>
      <c r="B331" s="32"/>
      <c r="C331" s="10"/>
      <c r="D331" s="10"/>
      <c r="E331" s="10"/>
      <c r="F331" s="9"/>
      <c r="G331" s="10"/>
      <c r="H331" s="10"/>
      <c r="I331" s="7" t="s">
        <v>245</v>
      </c>
      <c r="J331" s="54">
        <v>750000.0</v>
      </c>
    </row>
    <row r="332">
      <c r="A332" s="5">
        <v>111.0</v>
      </c>
      <c r="B332" s="30" t="s">
        <v>917</v>
      </c>
      <c r="C332" s="5" t="s">
        <v>160</v>
      </c>
      <c r="D332" s="5" t="s">
        <v>918</v>
      </c>
      <c r="E332" s="5" t="s">
        <v>734</v>
      </c>
      <c r="F332" s="5" t="s">
        <v>105</v>
      </c>
      <c r="G332" s="5">
        <v>8.571940144E10</v>
      </c>
      <c r="H332" s="5" t="s">
        <v>355</v>
      </c>
      <c r="I332" s="7" t="s">
        <v>190</v>
      </c>
      <c r="J332" s="54">
        <v>3000000.0</v>
      </c>
    </row>
    <row r="333">
      <c r="A333" s="9"/>
      <c r="B333" s="31"/>
      <c r="C333" s="9"/>
      <c r="D333" s="9"/>
      <c r="E333" s="9"/>
      <c r="F333" s="9"/>
      <c r="G333" s="9"/>
      <c r="H333" s="9"/>
      <c r="I333" s="7" t="s">
        <v>468</v>
      </c>
      <c r="J333" s="54">
        <v>3500000.0</v>
      </c>
    </row>
    <row r="334">
      <c r="A334" s="10"/>
      <c r="B334" s="32"/>
      <c r="C334" s="10"/>
      <c r="D334" s="10"/>
      <c r="E334" s="10"/>
      <c r="F334" s="9"/>
      <c r="G334" s="10"/>
      <c r="H334" s="10"/>
      <c r="I334" s="7" t="s">
        <v>245</v>
      </c>
      <c r="J334" s="54">
        <v>750000.0</v>
      </c>
    </row>
    <row r="335">
      <c r="A335" s="5">
        <v>112.0</v>
      </c>
      <c r="B335" s="30" t="s">
        <v>919</v>
      </c>
      <c r="C335" s="5" t="s">
        <v>160</v>
      </c>
      <c r="D335" s="5" t="s">
        <v>920</v>
      </c>
      <c r="E335" s="5" t="s">
        <v>734</v>
      </c>
      <c r="F335" s="5" t="s">
        <v>105</v>
      </c>
      <c r="G335" s="5">
        <v>8.571940144E10</v>
      </c>
      <c r="H335" s="5" t="s">
        <v>355</v>
      </c>
      <c r="I335" s="7" t="s">
        <v>190</v>
      </c>
      <c r="J335" s="54">
        <v>3000000.0</v>
      </c>
    </row>
    <row r="336">
      <c r="A336" s="9"/>
      <c r="B336" s="31"/>
      <c r="C336" s="9"/>
      <c r="D336" s="9"/>
      <c r="E336" s="9"/>
      <c r="F336" s="9"/>
      <c r="G336" s="9"/>
      <c r="H336" s="9"/>
      <c r="I336" s="7" t="s">
        <v>468</v>
      </c>
      <c r="J336" s="54">
        <v>3500000.0</v>
      </c>
    </row>
    <row r="337">
      <c r="A337" s="10"/>
      <c r="B337" s="32"/>
      <c r="C337" s="10"/>
      <c r="D337" s="10"/>
      <c r="E337" s="10"/>
      <c r="F337" s="9"/>
      <c r="G337" s="10"/>
      <c r="H337" s="10"/>
      <c r="I337" s="7" t="s">
        <v>245</v>
      </c>
      <c r="J337" s="54">
        <v>750000.0</v>
      </c>
    </row>
    <row r="338">
      <c r="A338" s="5">
        <v>113.0</v>
      </c>
      <c r="B338" s="30" t="s">
        <v>921</v>
      </c>
      <c r="C338" s="5" t="s">
        <v>160</v>
      </c>
      <c r="D338" s="5" t="s">
        <v>172</v>
      </c>
      <c r="E338" s="5" t="s">
        <v>734</v>
      </c>
      <c r="F338" s="5" t="s">
        <v>105</v>
      </c>
      <c r="G338" s="5">
        <v>8.571940144E10</v>
      </c>
      <c r="H338" s="5" t="s">
        <v>922</v>
      </c>
      <c r="I338" s="7" t="s">
        <v>190</v>
      </c>
      <c r="J338" s="54">
        <v>500000.0</v>
      </c>
    </row>
    <row r="339">
      <c r="A339" s="9"/>
      <c r="B339" s="31"/>
      <c r="C339" s="9"/>
      <c r="D339" s="9"/>
      <c r="E339" s="9"/>
      <c r="F339" s="9"/>
      <c r="G339" s="9"/>
      <c r="H339" s="9"/>
      <c r="I339" s="7" t="s">
        <v>468</v>
      </c>
      <c r="J339" s="54">
        <v>500000.0</v>
      </c>
    </row>
    <row r="340">
      <c r="A340" s="10"/>
      <c r="B340" s="32"/>
      <c r="C340" s="10"/>
      <c r="D340" s="10"/>
      <c r="E340" s="10"/>
      <c r="F340" s="9"/>
      <c r="G340" s="10"/>
      <c r="H340" s="10"/>
      <c r="I340" s="7" t="s">
        <v>245</v>
      </c>
      <c r="J340" s="54">
        <v>500000.0</v>
      </c>
    </row>
    <row r="341">
      <c r="A341" s="5">
        <v>114.0</v>
      </c>
      <c r="B341" s="30" t="s">
        <v>923</v>
      </c>
      <c r="C341" s="5" t="s">
        <v>160</v>
      </c>
      <c r="D341" s="5" t="s">
        <v>924</v>
      </c>
      <c r="E341" s="5" t="s">
        <v>734</v>
      </c>
      <c r="F341" s="5" t="s">
        <v>105</v>
      </c>
      <c r="G341" s="5">
        <v>8.571940144E10</v>
      </c>
      <c r="H341" s="5" t="s">
        <v>922</v>
      </c>
      <c r="I341" s="7" t="s">
        <v>190</v>
      </c>
      <c r="J341" s="54">
        <v>1000000.0</v>
      </c>
    </row>
    <row r="342">
      <c r="A342" s="9"/>
      <c r="B342" s="31"/>
      <c r="C342" s="9"/>
      <c r="D342" s="9"/>
      <c r="E342" s="9"/>
      <c r="F342" s="9"/>
      <c r="G342" s="9"/>
      <c r="H342" s="9"/>
      <c r="I342" s="7" t="s">
        <v>468</v>
      </c>
      <c r="J342" s="54">
        <v>2000000.0</v>
      </c>
    </row>
    <row r="343">
      <c r="A343" s="10"/>
      <c r="B343" s="32"/>
      <c r="C343" s="10"/>
      <c r="D343" s="10"/>
      <c r="E343" s="10"/>
      <c r="F343" s="10"/>
      <c r="G343" s="10"/>
      <c r="H343" s="10"/>
      <c r="I343" s="7" t="s">
        <v>245</v>
      </c>
      <c r="J343" s="54">
        <v>2000000.0</v>
      </c>
    </row>
    <row r="344">
      <c r="A344" s="5">
        <v>115.0</v>
      </c>
      <c r="B344" s="30" t="s">
        <v>925</v>
      </c>
      <c r="C344" s="5" t="s">
        <v>160</v>
      </c>
      <c r="D344" s="5" t="s">
        <v>178</v>
      </c>
      <c r="E344" s="11"/>
      <c r="F344" s="5" t="s">
        <v>105</v>
      </c>
      <c r="G344" s="5">
        <v>8.571940144E10</v>
      </c>
      <c r="H344" s="5" t="s">
        <v>922</v>
      </c>
      <c r="I344" s="7" t="s">
        <v>190</v>
      </c>
      <c r="J344" s="54">
        <v>500000.0</v>
      </c>
    </row>
    <row r="345">
      <c r="A345" s="9"/>
      <c r="B345" s="31"/>
      <c r="C345" s="9"/>
      <c r="D345" s="9"/>
      <c r="E345" s="9"/>
      <c r="F345" s="9"/>
      <c r="G345" s="9"/>
      <c r="H345" s="9"/>
      <c r="I345" s="7" t="s">
        <v>468</v>
      </c>
      <c r="J345" s="54">
        <v>500000.0</v>
      </c>
    </row>
    <row r="346">
      <c r="A346" s="10"/>
      <c r="B346" s="32"/>
      <c r="C346" s="10"/>
      <c r="D346" s="10"/>
      <c r="E346" s="10"/>
      <c r="F346" s="10"/>
      <c r="G346" s="10"/>
      <c r="H346" s="10"/>
      <c r="I346" s="7" t="s">
        <v>245</v>
      </c>
      <c r="J346" s="54">
        <v>500000.0</v>
      </c>
    </row>
    <row r="347">
      <c r="A347" s="5">
        <v>116.0</v>
      </c>
      <c r="B347" s="30" t="s">
        <v>926</v>
      </c>
      <c r="C347" s="5" t="s">
        <v>160</v>
      </c>
      <c r="D347" s="5" t="s">
        <v>927</v>
      </c>
      <c r="E347" s="5" t="s">
        <v>734</v>
      </c>
      <c r="F347" s="5" t="s">
        <v>105</v>
      </c>
      <c r="G347" s="5">
        <v>8.571940144E10</v>
      </c>
      <c r="H347" s="5" t="s">
        <v>922</v>
      </c>
      <c r="I347" s="7" t="s">
        <v>190</v>
      </c>
      <c r="J347" s="54">
        <v>3000000.0</v>
      </c>
    </row>
    <row r="348">
      <c r="A348" s="9"/>
      <c r="B348" s="31"/>
      <c r="C348" s="9"/>
      <c r="D348" s="9"/>
      <c r="E348" s="9"/>
      <c r="F348" s="9"/>
      <c r="G348" s="9"/>
      <c r="H348" s="9"/>
      <c r="I348" s="7" t="s">
        <v>468</v>
      </c>
      <c r="J348" s="54">
        <v>3000000.0</v>
      </c>
    </row>
    <row r="349">
      <c r="A349" s="10"/>
      <c r="B349" s="32"/>
      <c r="C349" s="10"/>
      <c r="D349" s="10"/>
      <c r="E349" s="10"/>
      <c r="F349" s="10"/>
      <c r="G349" s="10"/>
      <c r="H349" s="10"/>
      <c r="I349" s="7" t="s">
        <v>245</v>
      </c>
      <c r="J349" s="54">
        <v>3000000.0</v>
      </c>
    </row>
    <row r="350">
      <c r="A350" s="5">
        <v>117.0</v>
      </c>
      <c r="B350" s="30" t="s">
        <v>928</v>
      </c>
      <c r="C350" s="5" t="s">
        <v>160</v>
      </c>
      <c r="D350" s="5" t="s">
        <v>929</v>
      </c>
      <c r="E350" s="5" t="s">
        <v>734</v>
      </c>
      <c r="F350" s="5" t="s">
        <v>105</v>
      </c>
      <c r="G350" s="5">
        <v>8.571940144E10</v>
      </c>
      <c r="H350" s="5" t="s">
        <v>922</v>
      </c>
      <c r="I350" s="7" t="s">
        <v>190</v>
      </c>
      <c r="J350" s="54">
        <v>2000000.0</v>
      </c>
    </row>
    <row r="351">
      <c r="A351" s="9"/>
      <c r="B351" s="31"/>
      <c r="C351" s="9"/>
      <c r="D351" s="9"/>
      <c r="E351" s="9"/>
      <c r="F351" s="9"/>
      <c r="G351" s="9"/>
      <c r="H351" s="9"/>
      <c r="I351" s="7" t="s">
        <v>468</v>
      </c>
      <c r="J351" s="54">
        <v>3000000.0</v>
      </c>
    </row>
    <row r="352">
      <c r="A352" s="10"/>
      <c r="B352" s="32"/>
      <c r="C352" s="10"/>
      <c r="D352" s="10"/>
      <c r="E352" s="10"/>
      <c r="F352" s="10"/>
      <c r="G352" s="10"/>
      <c r="H352" s="10"/>
      <c r="I352" s="7" t="s">
        <v>245</v>
      </c>
      <c r="J352" s="54">
        <v>3000000.0</v>
      </c>
    </row>
    <row r="353">
      <c r="A353" s="5">
        <v>118.0</v>
      </c>
      <c r="B353" s="53" t="s">
        <v>930</v>
      </c>
      <c r="C353" s="5" t="s">
        <v>160</v>
      </c>
      <c r="D353" s="5" t="s">
        <v>931</v>
      </c>
      <c r="E353" s="5" t="s">
        <v>734</v>
      </c>
      <c r="F353" s="5" t="s">
        <v>105</v>
      </c>
      <c r="G353" s="5">
        <v>8.571940144E10</v>
      </c>
      <c r="H353" s="5" t="s">
        <v>922</v>
      </c>
      <c r="I353" s="7" t="s">
        <v>190</v>
      </c>
      <c r="J353" s="54">
        <v>2000000.0</v>
      </c>
    </row>
    <row r="354">
      <c r="A354" s="9"/>
      <c r="B354" s="31"/>
      <c r="C354" s="9"/>
      <c r="D354" s="9"/>
      <c r="E354" s="9"/>
      <c r="F354" s="9"/>
      <c r="G354" s="9"/>
      <c r="H354" s="9"/>
      <c r="I354" s="7" t="s">
        <v>468</v>
      </c>
      <c r="J354" s="54">
        <v>3000000.0</v>
      </c>
    </row>
    <row r="355">
      <c r="A355" s="10"/>
      <c r="B355" s="32"/>
      <c r="C355" s="10"/>
      <c r="D355" s="10"/>
      <c r="E355" s="10"/>
      <c r="F355" s="10"/>
      <c r="G355" s="10"/>
      <c r="H355" s="10"/>
      <c r="I355" s="7" t="s">
        <v>245</v>
      </c>
      <c r="J355" s="54">
        <v>3000000.0</v>
      </c>
    </row>
    <row r="356">
      <c r="A356" s="5">
        <v>119.0</v>
      </c>
      <c r="B356" s="30" t="s">
        <v>932</v>
      </c>
      <c r="C356" s="5" t="s">
        <v>160</v>
      </c>
      <c r="D356" s="5" t="s">
        <v>933</v>
      </c>
      <c r="E356" s="5" t="s">
        <v>734</v>
      </c>
      <c r="F356" s="5" t="s">
        <v>105</v>
      </c>
      <c r="G356" s="5">
        <v>8.571940144E10</v>
      </c>
      <c r="H356" s="5" t="s">
        <v>208</v>
      </c>
      <c r="I356" s="7" t="s">
        <v>190</v>
      </c>
      <c r="J356" s="54">
        <v>3750000.0</v>
      </c>
    </row>
    <row r="357">
      <c r="A357" s="9"/>
      <c r="B357" s="31"/>
      <c r="C357" s="9"/>
      <c r="D357" s="9"/>
      <c r="E357" s="9"/>
      <c r="F357" s="9"/>
      <c r="G357" s="9"/>
      <c r="H357" s="9"/>
      <c r="I357" s="7" t="s">
        <v>468</v>
      </c>
      <c r="J357" s="54">
        <v>3750000.0</v>
      </c>
    </row>
    <row r="358">
      <c r="A358" s="10"/>
      <c r="B358" s="32"/>
      <c r="C358" s="10"/>
      <c r="D358" s="10"/>
      <c r="E358" s="10"/>
      <c r="F358" s="10"/>
      <c r="G358" s="10"/>
      <c r="H358" s="10"/>
      <c r="I358" s="7" t="s">
        <v>245</v>
      </c>
      <c r="J358" s="54">
        <v>1800000.0</v>
      </c>
    </row>
    <row r="359">
      <c r="A359" s="5">
        <v>120.0</v>
      </c>
      <c r="B359" s="55" t="s">
        <v>934</v>
      </c>
      <c r="C359" s="5" t="s">
        <v>160</v>
      </c>
      <c r="D359" s="11"/>
      <c r="E359" s="5" t="s">
        <v>734</v>
      </c>
      <c r="F359" s="5" t="s">
        <v>105</v>
      </c>
      <c r="G359" s="5">
        <v>8.571940144E10</v>
      </c>
      <c r="H359" s="5" t="s">
        <v>208</v>
      </c>
      <c r="I359" s="7" t="s">
        <v>190</v>
      </c>
      <c r="J359" s="54">
        <v>2000000.0</v>
      </c>
    </row>
    <row r="360">
      <c r="A360" s="9"/>
      <c r="B360" s="31"/>
      <c r="C360" s="9"/>
      <c r="D360" s="9"/>
      <c r="E360" s="9"/>
      <c r="F360" s="9"/>
      <c r="G360" s="9"/>
      <c r="H360" s="9"/>
      <c r="I360" s="7" t="s">
        <v>468</v>
      </c>
      <c r="J360" s="54">
        <v>2000000.0</v>
      </c>
    </row>
    <row r="361">
      <c r="A361" s="10"/>
      <c r="B361" s="32"/>
      <c r="C361" s="10"/>
      <c r="D361" s="10"/>
      <c r="E361" s="10"/>
      <c r="F361" s="10"/>
      <c r="G361" s="10"/>
      <c r="H361" s="10"/>
      <c r="I361" s="7" t="s">
        <v>245</v>
      </c>
      <c r="J361" s="54">
        <v>800000.0</v>
      </c>
    </row>
    <row r="362">
      <c r="A362" s="5">
        <v>121.0</v>
      </c>
      <c r="B362" s="30" t="s">
        <v>935</v>
      </c>
      <c r="C362" s="5" t="s">
        <v>160</v>
      </c>
      <c r="D362" s="5" t="s">
        <v>936</v>
      </c>
      <c r="E362" s="5" t="s">
        <v>734</v>
      </c>
      <c r="F362" s="5" t="s">
        <v>105</v>
      </c>
      <c r="G362" s="5">
        <v>8.571940144E10</v>
      </c>
      <c r="H362" s="5" t="s">
        <v>208</v>
      </c>
      <c r="I362" s="7" t="s">
        <v>190</v>
      </c>
      <c r="J362" s="54">
        <v>4000000.0</v>
      </c>
    </row>
    <row r="363">
      <c r="A363" s="9"/>
      <c r="B363" s="31"/>
      <c r="C363" s="9"/>
      <c r="D363" s="9"/>
      <c r="E363" s="9"/>
      <c r="F363" s="9"/>
      <c r="G363" s="9"/>
      <c r="H363" s="9"/>
      <c r="I363" s="7" t="s">
        <v>468</v>
      </c>
      <c r="J363" s="54">
        <v>4500000.0</v>
      </c>
    </row>
    <row r="364">
      <c r="A364" s="10"/>
      <c r="B364" s="32"/>
      <c r="C364" s="10"/>
      <c r="D364" s="10"/>
      <c r="E364" s="10"/>
      <c r="F364" s="10"/>
      <c r="G364" s="10"/>
      <c r="H364" s="10"/>
      <c r="I364" s="7" t="s">
        <v>245</v>
      </c>
      <c r="J364" s="54">
        <v>750000.0</v>
      </c>
    </row>
    <row r="365">
      <c r="A365" s="5">
        <v>122.0</v>
      </c>
      <c r="B365" s="30" t="s">
        <v>937</v>
      </c>
      <c r="C365" s="5" t="s">
        <v>160</v>
      </c>
      <c r="D365" s="5" t="s">
        <v>938</v>
      </c>
      <c r="E365" s="5" t="s">
        <v>734</v>
      </c>
      <c r="F365" s="5" t="s">
        <v>105</v>
      </c>
      <c r="G365" s="5">
        <v>8.571940144E10</v>
      </c>
      <c r="H365" s="5" t="s">
        <v>208</v>
      </c>
      <c r="I365" s="7" t="s">
        <v>190</v>
      </c>
      <c r="J365" s="54">
        <v>2000000.0</v>
      </c>
    </row>
    <row r="366">
      <c r="A366" s="9"/>
      <c r="B366" s="31"/>
      <c r="C366" s="9"/>
      <c r="D366" s="9"/>
      <c r="E366" s="9"/>
      <c r="F366" s="9"/>
      <c r="G366" s="9"/>
      <c r="H366" s="9"/>
      <c r="I366" s="7" t="s">
        <v>468</v>
      </c>
      <c r="J366" s="54">
        <v>3000000.0</v>
      </c>
    </row>
    <row r="367">
      <c r="A367" s="10"/>
      <c r="B367" s="32"/>
      <c r="C367" s="10"/>
      <c r="D367" s="10"/>
      <c r="E367" s="10"/>
      <c r="F367" s="10"/>
      <c r="G367" s="10"/>
      <c r="H367" s="10"/>
      <c r="I367" s="7" t="s">
        <v>245</v>
      </c>
      <c r="J367" s="54">
        <v>750000.0</v>
      </c>
    </row>
    <row r="368">
      <c r="A368" s="5">
        <v>123.0</v>
      </c>
      <c r="B368" s="30" t="s">
        <v>939</v>
      </c>
      <c r="C368" s="5" t="s">
        <v>160</v>
      </c>
      <c r="D368" s="5" t="s">
        <v>940</v>
      </c>
      <c r="E368" s="5" t="s">
        <v>734</v>
      </c>
      <c r="F368" s="5" t="s">
        <v>105</v>
      </c>
      <c r="G368" s="5">
        <v>8.571940144E10</v>
      </c>
      <c r="H368" s="5" t="s">
        <v>28</v>
      </c>
      <c r="I368" s="7" t="s">
        <v>190</v>
      </c>
      <c r="J368" s="54">
        <v>2000000.0</v>
      </c>
    </row>
    <row r="369">
      <c r="A369" s="9"/>
      <c r="B369" s="31"/>
      <c r="C369" s="9"/>
      <c r="D369" s="9"/>
      <c r="E369" s="9"/>
      <c r="F369" s="9"/>
      <c r="G369" s="9"/>
      <c r="H369" s="9"/>
      <c r="I369" s="7" t="s">
        <v>468</v>
      </c>
      <c r="J369" s="54">
        <v>3000000.0</v>
      </c>
    </row>
    <row r="370">
      <c r="A370" s="10"/>
      <c r="B370" s="32"/>
      <c r="C370" s="10"/>
      <c r="D370" s="10"/>
      <c r="E370" s="10"/>
      <c r="F370" s="10"/>
      <c r="G370" s="10"/>
      <c r="H370" s="10"/>
      <c r="I370" s="7" t="s">
        <v>245</v>
      </c>
      <c r="J370" s="54">
        <v>750000.0</v>
      </c>
    </row>
    <row r="371">
      <c r="A371" s="5">
        <v>124.0</v>
      </c>
      <c r="B371" s="30" t="s">
        <v>941</v>
      </c>
      <c r="C371" s="5" t="s">
        <v>160</v>
      </c>
      <c r="D371" s="5" t="s">
        <v>942</v>
      </c>
      <c r="E371" s="5" t="s">
        <v>734</v>
      </c>
      <c r="F371" s="5" t="s">
        <v>105</v>
      </c>
      <c r="G371" s="5">
        <v>8.571940144E10</v>
      </c>
      <c r="H371" s="5" t="s">
        <v>28</v>
      </c>
      <c r="I371" s="7" t="s">
        <v>190</v>
      </c>
      <c r="J371" s="54">
        <v>2000000.0</v>
      </c>
    </row>
    <row r="372">
      <c r="A372" s="9"/>
      <c r="B372" s="31"/>
      <c r="C372" s="9"/>
      <c r="D372" s="9"/>
      <c r="E372" s="9"/>
      <c r="F372" s="9"/>
      <c r="G372" s="9"/>
      <c r="H372" s="9"/>
      <c r="I372" s="7" t="s">
        <v>468</v>
      </c>
      <c r="J372" s="54">
        <v>3000000.0</v>
      </c>
    </row>
    <row r="373">
      <c r="A373" s="10"/>
      <c r="B373" s="32"/>
      <c r="C373" s="10"/>
      <c r="D373" s="10"/>
      <c r="E373" s="10"/>
      <c r="F373" s="10"/>
      <c r="G373" s="10"/>
      <c r="H373" s="10"/>
      <c r="I373" s="7" t="s">
        <v>245</v>
      </c>
      <c r="J373" s="54">
        <v>750000.0</v>
      </c>
    </row>
    <row r="374">
      <c r="A374" s="5">
        <v>125.0</v>
      </c>
      <c r="B374" s="30" t="s">
        <v>943</v>
      </c>
      <c r="C374" s="5" t="s">
        <v>160</v>
      </c>
      <c r="D374" s="5" t="s">
        <v>944</v>
      </c>
      <c r="E374" s="5" t="s">
        <v>734</v>
      </c>
      <c r="F374" s="5" t="s">
        <v>105</v>
      </c>
      <c r="G374" s="5">
        <v>8.571940144E10</v>
      </c>
      <c r="H374" s="5" t="s">
        <v>28</v>
      </c>
      <c r="I374" s="7" t="s">
        <v>190</v>
      </c>
      <c r="J374" s="54">
        <v>3000000.0</v>
      </c>
    </row>
    <row r="375">
      <c r="A375" s="9"/>
      <c r="B375" s="31"/>
      <c r="C375" s="9"/>
      <c r="D375" s="9"/>
      <c r="E375" s="9"/>
      <c r="F375" s="9"/>
      <c r="G375" s="9"/>
      <c r="H375" s="9"/>
      <c r="I375" s="7" t="s">
        <v>468</v>
      </c>
      <c r="J375" s="54">
        <v>4000000.0</v>
      </c>
    </row>
    <row r="376">
      <c r="A376" s="10"/>
      <c r="B376" s="32"/>
      <c r="C376" s="10"/>
      <c r="D376" s="10"/>
      <c r="E376" s="10"/>
      <c r="F376" s="10"/>
      <c r="G376" s="10"/>
      <c r="H376" s="10"/>
      <c r="I376" s="7" t="s">
        <v>245</v>
      </c>
      <c r="J376" s="54">
        <v>750000.0</v>
      </c>
    </row>
    <row r="377">
      <c r="A377" s="5">
        <v>126.0</v>
      </c>
      <c r="B377" s="30" t="s">
        <v>945</v>
      </c>
      <c r="C377" s="5" t="s">
        <v>160</v>
      </c>
      <c r="D377" s="5" t="s">
        <v>946</v>
      </c>
      <c r="E377" s="5" t="s">
        <v>734</v>
      </c>
      <c r="F377" s="5" t="s">
        <v>105</v>
      </c>
      <c r="G377" s="5">
        <v>8.571940144E10</v>
      </c>
      <c r="H377" s="5" t="s">
        <v>28</v>
      </c>
      <c r="I377" s="7" t="s">
        <v>190</v>
      </c>
      <c r="J377" s="54">
        <v>1.0E7</v>
      </c>
    </row>
    <row r="378">
      <c r="A378" s="9"/>
      <c r="B378" s="31"/>
      <c r="C378" s="9"/>
      <c r="D378" s="9"/>
      <c r="E378" s="9"/>
      <c r="F378" s="9"/>
      <c r="G378" s="9"/>
      <c r="H378" s="9"/>
      <c r="I378" s="7" t="s">
        <v>468</v>
      </c>
      <c r="J378" s="54">
        <v>1.2E7</v>
      </c>
    </row>
    <row r="379">
      <c r="A379" s="10"/>
      <c r="B379" s="32"/>
      <c r="C379" s="10"/>
      <c r="D379" s="10"/>
      <c r="E379" s="10"/>
      <c r="F379" s="10"/>
      <c r="G379" s="10"/>
      <c r="H379" s="10"/>
      <c r="I379" s="7" t="s">
        <v>245</v>
      </c>
      <c r="J379" s="54">
        <v>750000.0</v>
      </c>
    </row>
    <row r="380">
      <c r="A380" s="5">
        <v>127.0</v>
      </c>
      <c r="B380" s="55" t="s">
        <v>947</v>
      </c>
      <c r="C380" s="5" t="s">
        <v>160</v>
      </c>
      <c r="D380" s="11"/>
      <c r="E380" s="5" t="s">
        <v>734</v>
      </c>
      <c r="F380" s="5" t="s">
        <v>105</v>
      </c>
      <c r="G380" s="5">
        <v>8.571940144E10</v>
      </c>
      <c r="H380" s="5" t="s">
        <v>28</v>
      </c>
      <c r="I380" s="7" t="s">
        <v>190</v>
      </c>
      <c r="J380" s="54">
        <v>200000.0</v>
      </c>
    </row>
    <row r="381">
      <c r="A381" s="9"/>
      <c r="B381" s="31"/>
      <c r="C381" s="9"/>
      <c r="D381" s="9"/>
      <c r="E381" s="9"/>
      <c r="F381" s="9"/>
      <c r="G381" s="9"/>
      <c r="H381" s="9"/>
      <c r="I381" s="7" t="s">
        <v>468</v>
      </c>
      <c r="J381" s="54">
        <v>200000.0</v>
      </c>
    </row>
    <row r="382">
      <c r="A382" s="10"/>
      <c r="B382" s="32"/>
      <c r="C382" s="10"/>
      <c r="D382" s="10"/>
      <c r="E382" s="10"/>
      <c r="F382" s="10"/>
      <c r="G382" s="10"/>
      <c r="H382" s="10"/>
      <c r="I382" s="7" t="s">
        <v>245</v>
      </c>
      <c r="J382" s="54">
        <v>100000.0</v>
      </c>
    </row>
    <row r="383">
      <c r="A383" s="5">
        <v>128.0</v>
      </c>
      <c r="B383" s="30" t="s">
        <v>948</v>
      </c>
      <c r="C383" s="5" t="s">
        <v>160</v>
      </c>
      <c r="D383" s="5" t="s">
        <v>949</v>
      </c>
      <c r="E383" s="5" t="s">
        <v>734</v>
      </c>
      <c r="F383" s="5" t="s">
        <v>105</v>
      </c>
      <c r="G383" s="5">
        <v>8.571940144E10</v>
      </c>
      <c r="H383" s="5" t="s">
        <v>28</v>
      </c>
      <c r="I383" s="7" t="s">
        <v>190</v>
      </c>
      <c r="J383" s="54">
        <v>2000000.0</v>
      </c>
    </row>
    <row r="384">
      <c r="A384" s="9"/>
      <c r="B384" s="31"/>
      <c r="C384" s="9"/>
      <c r="D384" s="9"/>
      <c r="E384" s="9"/>
      <c r="F384" s="9"/>
      <c r="G384" s="9"/>
      <c r="H384" s="9"/>
      <c r="I384" s="7" t="s">
        <v>468</v>
      </c>
      <c r="J384" s="54">
        <v>3000000.0</v>
      </c>
    </row>
    <row r="385">
      <c r="A385" s="10"/>
      <c r="B385" s="32"/>
      <c r="C385" s="10"/>
      <c r="D385" s="10"/>
      <c r="E385" s="10"/>
      <c r="F385" s="10"/>
      <c r="G385" s="10"/>
      <c r="H385" s="10"/>
      <c r="I385" s="7" t="s">
        <v>245</v>
      </c>
      <c r="J385" s="54">
        <v>750000.0</v>
      </c>
    </row>
    <row r="386">
      <c r="A386" s="5">
        <v>129.0</v>
      </c>
      <c r="B386" s="30" t="s">
        <v>950</v>
      </c>
      <c r="C386" s="5" t="s">
        <v>160</v>
      </c>
      <c r="D386" s="5" t="s">
        <v>951</v>
      </c>
      <c r="E386" s="5" t="s">
        <v>734</v>
      </c>
      <c r="F386" s="5" t="s">
        <v>105</v>
      </c>
      <c r="G386" s="5">
        <v>8.571940144E10</v>
      </c>
      <c r="H386" s="5" t="s">
        <v>952</v>
      </c>
      <c r="I386" s="7" t="s">
        <v>190</v>
      </c>
      <c r="J386" s="54">
        <v>2000000.0</v>
      </c>
    </row>
    <row r="387">
      <c r="A387" s="9"/>
      <c r="B387" s="31"/>
      <c r="C387" s="9"/>
      <c r="D387" s="9"/>
      <c r="E387" s="9"/>
      <c r="F387" s="9"/>
      <c r="G387" s="9"/>
      <c r="H387" s="9"/>
      <c r="I387" s="7" t="s">
        <v>468</v>
      </c>
      <c r="J387" s="54">
        <v>3000000.0</v>
      </c>
    </row>
    <row r="388">
      <c r="A388" s="10"/>
      <c r="B388" s="32"/>
      <c r="C388" s="10"/>
      <c r="D388" s="10"/>
      <c r="E388" s="10"/>
      <c r="F388" s="10"/>
      <c r="G388" s="10"/>
      <c r="H388" s="10"/>
      <c r="I388" s="7" t="s">
        <v>245</v>
      </c>
      <c r="J388" s="54">
        <v>750000.0</v>
      </c>
    </row>
    <row r="389">
      <c r="A389" s="5">
        <v>130.0</v>
      </c>
      <c r="B389" s="30" t="s">
        <v>953</v>
      </c>
      <c r="C389" s="5" t="s">
        <v>160</v>
      </c>
      <c r="D389" s="5" t="s">
        <v>768</v>
      </c>
      <c r="E389" s="5" t="s">
        <v>734</v>
      </c>
      <c r="F389" s="5" t="s">
        <v>105</v>
      </c>
      <c r="G389" s="5">
        <v>8.571940144E10</v>
      </c>
      <c r="H389" s="5" t="s">
        <v>952</v>
      </c>
      <c r="I389" s="7" t="s">
        <v>190</v>
      </c>
      <c r="J389" s="54">
        <v>2000000.0</v>
      </c>
    </row>
    <row r="390">
      <c r="A390" s="9"/>
      <c r="B390" s="31"/>
      <c r="C390" s="9"/>
      <c r="D390" s="9"/>
      <c r="E390" s="9"/>
      <c r="F390" s="9"/>
      <c r="G390" s="9"/>
      <c r="H390" s="9"/>
      <c r="I390" s="7" t="s">
        <v>468</v>
      </c>
      <c r="J390" s="54">
        <v>3000000.0</v>
      </c>
    </row>
    <row r="391">
      <c r="A391" s="10"/>
      <c r="B391" s="32"/>
      <c r="C391" s="10"/>
      <c r="D391" s="10"/>
      <c r="E391" s="10"/>
      <c r="F391" s="10"/>
      <c r="G391" s="10"/>
      <c r="H391" s="10"/>
      <c r="I391" s="7" t="s">
        <v>245</v>
      </c>
      <c r="J391" s="54">
        <v>750000.0</v>
      </c>
    </row>
    <row r="392">
      <c r="A392" s="5">
        <v>131.0</v>
      </c>
      <c r="B392" s="30" t="s">
        <v>954</v>
      </c>
      <c r="C392" s="5" t="s">
        <v>160</v>
      </c>
      <c r="D392" s="5" t="s">
        <v>955</v>
      </c>
      <c r="E392" s="5" t="s">
        <v>734</v>
      </c>
      <c r="F392" s="5" t="s">
        <v>105</v>
      </c>
      <c r="G392" s="5">
        <v>8.571940144E10</v>
      </c>
      <c r="H392" s="5" t="s">
        <v>952</v>
      </c>
      <c r="I392" s="7" t="s">
        <v>190</v>
      </c>
      <c r="J392" s="54">
        <v>2000000.0</v>
      </c>
    </row>
    <row r="393">
      <c r="A393" s="9"/>
      <c r="B393" s="31"/>
      <c r="C393" s="9"/>
      <c r="D393" s="9"/>
      <c r="E393" s="9"/>
      <c r="F393" s="9"/>
      <c r="G393" s="9"/>
      <c r="H393" s="9"/>
      <c r="I393" s="7" t="s">
        <v>468</v>
      </c>
      <c r="J393" s="54">
        <v>3000000.0</v>
      </c>
    </row>
    <row r="394">
      <c r="A394" s="10"/>
      <c r="B394" s="32"/>
      <c r="C394" s="10"/>
      <c r="D394" s="10"/>
      <c r="E394" s="10"/>
      <c r="F394" s="10"/>
      <c r="G394" s="10"/>
      <c r="H394" s="10"/>
      <c r="I394" s="7" t="s">
        <v>245</v>
      </c>
      <c r="J394" s="54">
        <v>750000.0</v>
      </c>
    </row>
    <row r="395">
      <c r="A395" s="5">
        <v>132.0</v>
      </c>
      <c r="B395" s="53" t="s">
        <v>956</v>
      </c>
      <c r="C395" s="5" t="s">
        <v>160</v>
      </c>
      <c r="D395" s="5" t="s">
        <v>957</v>
      </c>
      <c r="E395" s="5" t="s">
        <v>734</v>
      </c>
      <c r="F395" s="5" t="s">
        <v>105</v>
      </c>
      <c r="G395" s="5">
        <v>8.571940144E10</v>
      </c>
      <c r="H395" s="5" t="s">
        <v>952</v>
      </c>
      <c r="I395" s="7" t="s">
        <v>190</v>
      </c>
      <c r="J395" s="54">
        <v>2000000.0</v>
      </c>
    </row>
    <row r="396">
      <c r="A396" s="9"/>
      <c r="B396" s="31"/>
      <c r="C396" s="9"/>
      <c r="D396" s="9"/>
      <c r="E396" s="9"/>
      <c r="F396" s="9"/>
      <c r="G396" s="9"/>
      <c r="H396" s="9"/>
      <c r="I396" s="7" t="s">
        <v>468</v>
      </c>
      <c r="J396" s="54">
        <v>3000000.0</v>
      </c>
    </row>
    <row r="397">
      <c r="A397" s="10"/>
      <c r="B397" s="32"/>
      <c r="C397" s="10"/>
      <c r="D397" s="10"/>
      <c r="E397" s="10"/>
      <c r="F397" s="10"/>
      <c r="G397" s="10"/>
      <c r="H397" s="10"/>
      <c r="I397" s="7" t="s">
        <v>245</v>
      </c>
      <c r="J397" s="54">
        <v>750000.0</v>
      </c>
    </row>
    <row r="398">
      <c r="A398" s="5">
        <v>133.0</v>
      </c>
      <c r="B398" s="30" t="s">
        <v>958</v>
      </c>
      <c r="C398" s="5" t="s">
        <v>160</v>
      </c>
      <c r="D398" s="5" t="s">
        <v>959</v>
      </c>
      <c r="E398" s="5" t="s">
        <v>734</v>
      </c>
      <c r="F398" s="5" t="s">
        <v>105</v>
      </c>
      <c r="G398" s="5">
        <v>8.571940144E10</v>
      </c>
      <c r="H398" s="5" t="s">
        <v>952</v>
      </c>
      <c r="I398" s="7" t="s">
        <v>190</v>
      </c>
      <c r="J398" s="54">
        <v>2000000.0</v>
      </c>
    </row>
    <row r="399">
      <c r="A399" s="9"/>
      <c r="B399" s="31"/>
      <c r="C399" s="9"/>
      <c r="D399" s="9"/>
      <c r="E399" s="9"/>
      <c r="F399" s="9"/>
      <c r="G399" s="9"/>
      <c r="H399" s="9"/>
      <c r="I399" s="7" t="s">
        <v>468</v>
      </c>
      <c r="J399" s="54">
        <v>3000000.0</v>
      </c>
    </row>
    <row r="400">
      <c r="A400" s="10"/>
      <c r="B400" s="32"/>
      <c r="C400" s="10"/>
      <c r="D400" s="10"/>
      <c r="E400" s="10"/>
      <c r="F400" s="10"/>
      <c r="G400" s="10"/>
      <c r="H400" s="10"/>
      <c r="I400" s="7" t="s">
        <v>245</v>
      </c>
      <c r="J400" s="54">
        <v>750000.0</v>
      </c>
    </row>
    <row r="401">
      <c r="A401" s="5">
        <v>134.0</v>
      </c>
      <c r="B401" s="30" t="s">
        <v>960</v>
      </c>
      <c r="C401" s="5" t="s">
        <v>160</v>
      </c>
      <c r="D401" s="5" t="s">
        <v>961</v>
      </c>
      <c r="E401" s="5" t="s">
        <v>734</v>
      </c>
      <c r="F401" s="5" t="s">
        <v>105</v>
      </c>
      <c r="G401" s="5">
        <v>8.571940144E10</v>
      </c>
      <c r="H401" s="5" t="s">
        <v>952</v>
      </c>
      <c r="I401" s="7" t="s">
        <v>190</v>
      </c>
      <c r="J401" s="54">
        <v>2000000.0</v>
      </c>
    </row>
    <row r="402">
      <c r="A402" s="9"/>
      <c r="B402" s="31"/>
      <c r="C402" s="9"/>
      <c r="D402" s="9"/>
      <c r="E402" s="9"/>
      <c r="F402" s="9"/>
      <c r="G402" s="9"/>
      <c r="H402" s="9"/>
      <c r="I402" s="7" t="s">
        <v>468</v>
      </c>
      <c r="J402" s="54">
        <v>3000000.0</v>
      </c>
    </row>
    <row r="403">
      <c r="A403" s="10"/>
      <c r="B403" s="32"/>
      <c r="C403" s="10"/>
      <c r="D403" s="10"/>
      <c r="E403" s="10"/>
      <c r="F403" s="10"/>
      <c r="G403" s="10"/>
      <c r="H403" s="10"/>
      <c r="I403" s="7" t="s">
        <v>245</v>
      </c>
      <c r="J403" s="54">
        <v>750000.0</v>
      </c>
    </row>
    <row r="404">
      <c r="A404" s="5">
        <v>135.0</v>
      </c>
      <c r="B404" s="30" t="s">
        <v>962</v>
      </c>
      <c r="C404" s="5" t="s">
        <v>160</v>
      </c>
      <c r="D404" s="5" t="s">
        <v>161</v>
      </c>
      <c r="E404" s="5" t="s">
        <v>734</v>
      </c>
      <c r="F404" s="5" t="s">
        <v>105</v>
      </c>
      <c r="G404" s="5">
        <v>8.571940144E10</v>
      </c>
      <c r="H404" s="5" t="s">
        <v>952</v>
      </c>
      <c r="I404" s="7" t="s">
        <v>190</v>
      </c>
      <c r="J404" s="54">
        <v>2000000.0</v>
      </c>
    </row>
    <row r="405">
      <c r="A405" s="9"/>
      <c r="B405" s="31"/>
      <c r="C405" s="9"/>
      <c r="D405" s="9"/>
      <c r="E405" s="9"/>
      <c r="F405" s="9"/>
      <c r="G405" s="9"/>
      <c r="H405" s="9"/>
      <c r="I405" s="7" t="s">
        <v>468</v>
      </c>
      <c r="J405" s="54">
        <v>3000000.0</v>
      </c>
    </row>
    <row r="406">
      <c r="A406" s="10"/>
      <c r="B406" s="32"/>
      <c r="C406" s="10"/>
      <c r="D406" s="10"/>
      <c r="E406" s="10"/>
      <c r="F406" s="10"/>
      <c r="G406" s="10"/>
      <c r="H406" s="10"/>
      <c r="I406" s="7" t="s">
        <v>245</v>
      </c>
      <c r="J406" s="54">
        <v>750000.0</v>
      </c>
    </row>
    <row r="407">
      <c r="A407" s="5">
        <v>136.0</v>
      </c>
      <c r="B407" s="30" t="s">
        <v>963</v>
      </c>
      <c r="C407" s="5" t="s">
        <v>160</v>
      </c>
      <c r="D407" s="5" t="s">
        <v>964</v>
      </c>
      <c r="E407" s="5" t="s">
        <v>734</v>
      </c>
      <c r="F407" s="5" t="s">
        <v>105</v>
      </c>
      <c r="G407" s="5">
        <v>8.571940144E10</v>
      </c>
      <c r="H407" s="5" t="s">
        <v>152</v>
      </c>
      <c r="I407" s="7" t="s">
        <v>190</v>
      </c>
      <c r="J407" s="54">
        <v>7000000.0</v>
      </c>
    </row>
    <row r="408">
      <c r="A408" s="9"/>
      <c r="B408" s="31"/>
      <c r="C408" s="9"/>
      <c r="D408" s="9"/>
      <c r="E408" s="9"/>
      <c r="F408" s="9"/>
      <c r="G408" s="9"/>
      <c r="H408" s="9"/>
      <c r="I408" s="7" t="s">
        <v>468</v>
      </c>
      <c r="J408" s="54">
        <v>1.0E7</v>
      </c>
    </row>
    <row r="409">
      <c r="A409" s="10"/>
      <c r="B409" s="32"/>
      <c r="C409" s="10"/>
      <c r="D409" s="10"/>
      <c r="E409" s="10"/>
      <c r="F409" s="10"/>
      <c r="G409" s="10"/>
      <c r="H409" s="10"/>
      <c r="I409" s="7" t="s">
        <v>245</v>
      </c>
      <c r="J409" s="54">
        <v>2000000.0</v>
      </c>
    </row>
    <row r="410">
      <c r="A410" s="5">
        <v>137.0</v>
      </c>
      <c r="B410" s="30" t="s">
        <v>769</v>
      </c>
      <c r="C410" s="5" t="s">
        <v>160</v>
      </c>
      <c r="D410" s="5" t="s">
        <v>720</v>
      </c>
      <c r="E410" s="5" t="s">
        <v>734</v>
      </c>
      <c r="F410" s="5" t="s">
        <v>105</v>
      </c>
      <c r="G410" s="5">
        <v>8.571940144E10</v>
      </c>
      <c r="H410" s="5" t="s">
        <v>152</v>
      </c>
      <c r="I410" s="7" t="s">
        <v>190</v>
      </c>
      <c r="J410" s="54">
        <v>5500000.0</v>
      </c>
    </row>
    <row r="411">
      <c r="A411" s="9"/>
      <c r="B411" s="31"/>
      <c r="C411" s="9"/>
      <c r="D411" s="9"/>
      <c r="E411" s="9"/>
      <c r="F411" s="9"/>
      <c r="G411" s="9"/>
      <c r="H411" s="9"/>
      <c r="I411" s="7" t="s">
        <v>468</v>
      </c>
      <c r="J411" s="54">
        <v>6000000.0</v>
      </c>
    </row>
    <row r="412">
      <c r="A412" s="10"/>
      <c r="B412" s="32"/>
      <c r="C412" s="10"/>
      <c r="D412" s="10"/>
      <c r="E412" s="10"/>
      <c r="F412" s="10"/>
      <c r="G412" s="10"/>
      <c r="H412" s="10"/>
      <c r="I412" s="7" t="s">
        <v>245</v>
      </c>
      <c r="J412" s="54">
        <v>2250000.0</v>
      </c>
    </row>
    <row r="413">
      <c r="A413" s="5">
        <v>138.0</v>
      </c>
      <c r="B413" s="30" t="s">
        <v>965</v>
      </c>
      <c r="C413" s="5" t="s">
        <v>160</v>
      </c>
      <c r="D413" s="5" t="s">
        <v>966</v>
      </c>
      <c r="E413" s="5" t="s">
        <v>734</v>
      </c>
      <c r="F413" s="5" t="s">
        <v>105</v>
      </c>
      <c r="G413" s="5">
        <v>8.571940144E10</v>
      </c>
      <c r="H413" s="5" t="s">
        <v>152</v>
      </c>
      <c r="I413" s="7" t="s">
        <v>190</v>
      </c>
      <c r="J413" s="54">
        <v>2000000.0</v>
      </c>
    </row>
    <row r="414">
      <c r="A414" s="9"/>
      <c r="B414" s="31"/>
      <c r="C414" s="9"/>
      <c r="D414" s="9"/>
      <c r="E414" s="9"/>
      <c r="F414" s="9"/>
      <c r="G414" s="9"/>
      <c r="H414" s="9"/>
      <c r="I414" s="7" t="s">
        <v>468</v>
      </c>
      <c r="J414" s="54">
        <v>3000000.0</v>
      </c>
    </row>
    <row r="415">
      <c r="A415" s="10"/>
      <c r="B415" s="32"/>
      <c r="C415" s="10"/>
      <c r="D415" s="10"/>
      <c r="E415" s="10"/>
      <c r="F415" s="10"/>
      <c r="G415" s="10"/>
      <c r="H415" s="10"/>
      <c r="I415" s="7" t="s">
        <v>245</v>
      </c>
      <c r="J415" s="54">
        <v>750000.0</v>
      </c>
    </row>
    <row r="416">
      <c r="A416" s="5">
        <v>139.0</v>
      </c>
      <c r="B416" s="30" t="s">
        <v>967</v>
      </c>
      <c r="C416" s="5" t="s">
        <v>160</v>
      </c>
      <c r="D416" s="5" t="s">
        <v>968</v>
      </c>
      <c r="E416" s="5" t="s">
        <v>734</v>
      </c>
      <c r="F416" s="5" t="s">
        <v>105</v>
      </c>
      <c r="G416" s="5">
        <v>8.571940144E10</v>
      </c>
      <c r="H416" s="5" t="s">
        <v>152</v>
      </c>
      <c r="I416" s="7" t="s">
        <v>190</v>
      </c>
      <c r="J416" s="54">
        <v>5500000.0</v>
      </c>
    </row>
    <row r="417">
      <c r="A417" s="9"/>
      <c r="B417" s="31"/>
      <c r="C417" s="9"/>
      <c r="D417" s="9"/>
      <c r="E417" s="9"/>
      <c r="F417" s="9"/>
      <c r="G417" s="9"/>
      <c r="H417" s="9"/>
      <c r="I417" s="7" t="s">
        <v>468</v>
      </c>
      <c r="J417" s="54">
        <v>6000000.0</v>
      </c>
    </row>
    <row r="418">
      <c r="A418" s="10"/>
      <c r="B418" s="32"/>
      <c r="C418" s="10"/>
      <c r="D418" s="10"/>
      <c r="E418" s="10"/>
      <c r="F418" s="10"/>
      <c r="G418" s="10"/>
      <c r="H418" s="10"/>
      <c r="I418" s="7" t="s">
        <v>245</v>
      </c>
      <c r="J418" s="54">
        <v>2250000.0</v>
      </c>
    </row>
    <row r="419">
      <c r="A419" s="5">
        <v>140.0</v>
      </c>
      <c r="B419" s="30" t="s">
        <v>969</v>
      </c>
      <c r="C419" s="5" t="s">
        <v>160</v>
      </c>
      <c r="D419" s="5" t="s">
        <v>64</v>
      </c>
      <c r="E419" s="5" t="s">
        <v>734</v>
      </c>
      <c r="F419" s="5" t="s">
        <v>105</v>
      </c>
      <c r="G419" s="5">
        <v>8.571940144E10</v>
      </c>
      <c r="H419" s="5" t="s">
        <v>152</v>
      </c>
      <c r="I419" s="7" t="s">
        <v>190</v>
      </c>
      <c r="J419" s="54">
        <v>8000000.0</v>
      </c>
    </row>
    <row r="420">
      <c r="A420" s="9"/>
      <c r="B420" s="31"/>
      <c r="C420" s="9"/>
      <c r="D420" s="9"/>
      <c r="E420" s="9"/>
      <c r="F420" s="9"/>
      <c r="G420" s="9"/>
      <c r="H420" s="9"/>
      <c r="I420" s="7" t="s">
        <v>468</v>
      </c>
      <c r="J420" s="54">
        <v>8000000.0</v>
      </c>
    </row>
    <row r="421">
      <c r="A421" s="10"/>
      <c r="B421" s="32"/>
      <c r="C421" s="10"/>
      <c r="D421" s="10"/>
      <c r="E421" s="10"/>
      <c r="F421" s="10"/>
      <c r="G421" s="10"/>
      <c r="H421" s="10"/>
      <c r="I421" s="7" t="s">
        <v>245</v>
      </c>
      <c r="J421" s="54">
        <v>2000000.0</v>
      </c>
    </row>
    <row r="422">
      <c r="A422" s="5">
        <v>141.0</v>
      </c>
      <c r="B422" s="30" t="s">
        <v>970</v>
      </c>
      <c r="C422" s="5" t="s">
        <v>160</v>
      </c>
      <c r="D422" s="5" t="s">
        <v>971</v>
      </c>
      <c r="E422" s="5" t="s">
        <v>734</v>
      </c>
      <c r="F422" s="5" t="s">
        <v>105</v>
      </c>
      <c r="G422" s="5">
        <v>8.571940144E10</v>
      </c>
      <c r="H422" s="5" t="s">
        <v>152</v>
      </c>
      <c r="I422" s="7" t="s">
        <v>190</v>
      </c>
      <c r="J422" s="54">
        <v>2000000.0</v>
      </c>
    </row>
    <row r="423">
      <c r="A423" s="9"/>
      <c r="B423" s="31"/>
      <c r="C423" s="9"/>
      <c r="D423" s="9"/>
      <c r="E423" s="9"/>
      <c r="F423" s="9"/>
      <c r="G423" s="9"/>
      <c r="H423" s="9"/>
      <c r="I423" s="7" t="s">
        <v>468</v>
      </c>
      <c r="J423" s="54">
        <v>3000000.0</v>
      </c>
    </row>
    <row r="424">
      <c r="A424" s="10"/>
      <c r="B424" s="32"/>
      <c r="C424" s="10"/>
      <c r="D424" s="10"/>
      <c r="E424" s="10"/>
      <c r="F424" s="10"/>
      <c r="G424" s="10"/>
      <c r="H424" s="10"/>
      <c r="I424" s="7" t="s">
        <v>245</v>
      </c>
      <c r="J424" s="54">
        <v>750000.0</v>
      </c>
    </row>
    <row r="425">
      <c r="A425" s="5">
        <v>142.0</v>
      </c>
      <c r="B425" s="30" t="s">
        <v>972</v>
      </c>
      <c r="C425" s="5" t="s">
        <v>160</v>
      </c>
      <c r="D425" s="5" t="s">
        <v>203</v>
      </c>
      <c r="E425" s="5" t="s">
        <v>734</v>
      </c>
      <c r="F425" s="5" t="s">
        <v>105</v>
      </c>
      <c r="G425" s="5">
        <v>8.571940144E10</v>
      </c>
      <c r="H425" s="5" t="s">
        <v>152</v>
      </c>
      <c r="I425" s="7" t="s">
        <v>190</v>
      </c>
      <c r="J425" s="54">
        <v>2000000.0</v>
      </c>
    </row>
    <row r="426">
      <c r="A426" s="9"/>
      <c r="B426" s="31"/>
      <c r="C426" s="9"/>
      <c r="D426" s="9"/>
      <c r="E426" s="9"/>
      <c r="F426" s="9"/>
      <c r="G426" s="9"/>
      <c r="H426" s="9"/>
      <c r="I426" s="7" t="s">
        <v>468</v>
      </c>
      <c r="J426" s="54">
        <v>3000000.0</v>
      </c>
    </row>
    <row r="427">
      <c r="A427" s="10"/>
      <c r="B427" s="32"/>
      <c r="C427" s="10"/>
      <c r="D427" s="10"/>
      <c r="E427" s="10"/>
      <c r="F427" s="10"/>
      <c r="G427" s="10"/>
      <c r="H427" s="10"/>
      <c r="I427" s="7" t="s">
        <v>245</v>
      </c>
      <c r="J427" s="54">
        <v>750000.0</v>
      </c>
    </row>
    <row r="428">
      <c r="A428" s="5">
        <v>143.0</v>
      </c>
      <c r="B428" s="30" t="s">
        <v>973</v>
      </c>
      <c r="C428" s="5" t="s">
        <v>160</v>
      </c>
      <c r="D428" s="5" t="s">
        <v>974</v>
      </c>
      <c r="E428" s="5" t="s">
        <v>734</v>
      </c>
      <c r="F428" s="5" t="s">
        <v>105</v>
      </c>
      <c r="G428" s="5">
        <v>8.571940144E10</v>
      </c>
      <c r="H428" s="5" t="s">
        <v>152</v>
      </c>
      <c r="I428" s="7" t="s">
        <v>190</v>
      </c>
      <c r="J428" s="54">
        <v>2000000.0</v>
      </c>
    </row>
    <row r="429">
      <c r="A429" s="9"/>
      <c r="B429" s="31"/>
      <c r="C429" s="9"/>
      <c r="D429" s="9"/>
      <c r="E429" s="9"/>
      <c r="F429" s="9"/>
      <c r="G429" s="9"/>
      <c r="H429" s="9"/>
      <c r="I429" s="7" t="s">
        <v>468</v>
      </c>
      <c r="J429" s="54">
        <v>3000000.0</v>
      </c>
    </row>
    <row r="430">
      <c r="A430" s="10"/>
      <c r="B430" s="32"/>
      <c r="C430" s="10"/>
      <c r="D430" s="10"/>
      <c r="E430" s="10"/>
      <c r="F430" s="10"/>
      <c r="G430" s="10"/>
      <c r="H430" s="10"/>
      <c r="I430" s="7" t="s">
        <v>245</v>
      </c>
      <c r="J430" s="54">
        <v>750000.0</v>
      </c>
    </row>
    <row r="431">
      <c r="A431" s="5">
        <v>144.0</v>
      </c>
      <c r="B431" s="30" t="s">
        <v>975</v>
      </c>
      <c r="C431" s="5" t="s">
        <v>160</v>
      </c>
      <c r="D431" s="5" t="s">
        <v>976</v>
      </c>
      <c r="E431" s="5" t="s">
        <v>734</v>
      </c>
      <c r="F431" s="5" t="s">
        <v>105</v>
      </c>
      <c r="G431" s="5">
        <v>8.571940144E10</v>
      </c>
      <c r="H431" s="5" t="s">
        <v>152</v>
      </c>
      <c r="I431" s="7" t="s">
        <v>190</v>
      </c>
      <c r="J431" s="54">
        <v>2000000.0</v>
      </c>
    </row>
    <row r="432">
      <c r="A432" s="9"/>
      <c r="B432" s="31"/>
      <c r="C432" s="9"/>
      <c r="D432" s="9"/>
      <c r="E432" s="9"/>
      <c r="F432" s="9"/>
      <c r="G432" s="9"/>
      <c r="H432" s="9"/>
      <c r="I432" s="7" t="s">
        <v>468</v>
      </c>
      <c r="J432" s="54">
        <v>3000000.0</v>
      </c>
    </row>
    <row r="433">
      <c r="A433" s="10"/>
      <c r="B433" s="32"/>
      <c r="C433" s="10"/>
      <c r="D433" s="10"/>
      <c r="E433" s="10"/>
      <c r="F433" s="10"/>
      <c r="G433" s="10"/>
      <c r="H433" s="10"/>
      <c r="I433" s="7" t="s">
        <v>245</v>
      </c>
      <c r="J433" s="54">
        <v>750000.0</v>
      </c>
    </row>
    <row r="434">
      <c r="A434" s="5">
        <v>145.0</v>
      </c>
      <c r="B434" s="30" t="s">
        <v>977</v>
      </c>
      <c r="C434" s="5" t="s">
        <v>160</v>
      </c>
      <c r="D434" s="5" t="s">
        <v>303</v>
      </c>
      <c r="E434" s="5" t="s">
        <v>734</v>
      </c>
      <c r="F434" s="5" t="s">
        <v>105</v>
      </c>
      <c r="G434" s="5">
        <v>8.571940144E10</v>
      </c>
      <c r="H434" s="5" t="s">
        <v>152</v>
      </c>
      <c r="I434" s="7" t="s">
        <v>190</v>
      </c>
      <c r="J434" s="54">
        <v>2000000.0</v>
      </c>
    </row>
    <row r="435">
      <c r="A435" s="9"/>
      <c r="B435" s="31"/>
      <c r="C435" s="9"/>
      <c r="D435" s="9"/>
      <c r="E435" s="9"/>
      <c r="F435" s="9"/>
      <c r="G435" s="9"/>
      <c r="H435" s="9"/>
      <c r="I435" s="7" t="s">
        <v>468</v>
      </c>
      <c r="J435" s="54">
        <v>3000000.0</v>
      </c>
    </row>
    <row r="436">
      <c r="A436" s="10"/>
      <c r="B436" s="32"/>
      <c r="C436" s="10"/>
      <c r="D436" s="10"/>
      <c r="E436" s="10"/>
      <c r="F436" s="10"/>
      <c r="G436" s="10"/>
      <c r="H436" s="10"/>
      <c r="I436" s="7" t="s">
        <v>245</v>
      </c>
      <c r="J436" s="54">
        <v>750000.0</v>
      </c>
    </row>
    <row r="437">
      <c r="A437" s="5">
        <v>146.0</v>
      </c>
      <c r="B437" s="30" t="s">
        <v>978</v>
      </c>
      <c r="C437" s="5" t="s">
        <v>160</v>
      </c>
      <c r="D437" s="5" t="s">
        <v>979</v>
      </c>
      <c r="E437" s="5" t="s">
        <v>734</v>
      </c>
      <c r="F437" s="5" t="s">
        <v>105</v>
      </c>
      <c r="G437" s="5">
        <v>8.571940144E10</v>
      </c>
      <c r="H437" s="5" t="s">
        <v>152</v>
      </c>
      <c r="I437" s="7" t="s">
        <v>190</v>
      </c>
      <c r="J437" s="54">
        <v>2000000.0</v>
      </c>
    </row>
    <row r="438">
      <c r="A438" s="9"/>
      <c r="B438" s="31"/>
      <c r="C438" s="9"/>
      <c r="D438" s="9"/>
      <c r="E438" s="9"/>
      <c r="F438" s="9"/>
      <c r="G438" s="9"/>
      <c r="H438" s="9"/>
      <c r="I438" s="7" t="s">
        <v>468</v>
      </c>
      <c r="J438" s="54">
        <v>3000000.0</v>
      </c>
    </row>
    <row r="439">
      <c r="A439" s="10"/>
      <c r="B439" s="32"/>
      <c r="C439" s="10"/>
      <c r="D439" s="10"/>
      <c r="E439" s="10"/>
      <c r="F439" s="10"/>
      <c r="G439" s="10"/>
      <c r="H439" s="10"/>
      <c r="I439" s="7" t="s">
        <v>245</v>
      </c>
      <c r="J439" s="54">
        <v>750000.0</v>
      </c>
    </row>
    <row r="440">
      <c r="A440" s="5">
        <v>147.0</v>
      </c>
      <c r="B440" s="30" t="s">
        <v>980</v>
      </c>
      <c r="C440" s="5" t="s">
        <v>160</v>
      </c>
      <c r="D440" s="5" t="s">
        <v>981</v>
      </c>
      <c r="E440" s="5" t="s">
        <v>734</v>
      </c>
      <c r="F440" s="5" t="s">
        <v>105</v>
      </c>
      <c r="G440" s="5">
        <v>8.571940144E10</v>
      </c>
      <c r="H440" s="5" t="s">
        <v>152</v>
      </c>
      <c r="I440" s="7" t="s">
        <v>190</v>
      </c>
      <c r="J440" s="54">
        <v>2000000.0</v>
      </c>
    </row>
    <row r="441">
      <c r="A441" s="9"/>
      <c r="B441" s="31"/>
      <c r="C441" s="9"/>
      <c r="D441" s="9"/>
      <c r="E441" s="9"/>
      <c r="F441" s="9"/>
      <c r="G441" s="9"/>
      <c r="H441" s="9"/>
      <c r="I441" s="7" t="s">
        <v>468</v>
      </c>
      <c r="J441" s="54">
        <v>3000000.0</v>
      </c>
    </row>
    <row r="442">
      <c r="A442" s="10"/>
      <c r="B442" s="32"/>
      <c r="C442" s="10"/>
      <c r="D442" s="9"/>
      <c r="E442" s="10"/>
      <c r="F442" s="10"/>
      <c r="G442" s="10"/>
      <c r="H442" s="10"/>
      <c r="I442" s="7" t="s">
        <v>245</v>
      </c>
      <c r="J442" s="54">
        <v>750000.0</v>
      </c>
    </row>
    <row r="443">
      <c r="A443" s="5">
        <v>148.0</v>
      </c>
      <c r="B443" s="30" t="s">
        <v>982</v>
      </c>
      <c r="C443" s="5" t="s">
        <v>160</v>
      </c>
      <c r="D443" s="5" t="s">
        <v>983</v>
      </c>
      <c r="E443" s="5" t="s">
        <v>734</v>
      </c>
      <c r="F443" s="5" t="s">
        <v>105</v>
      </c>
      <c r="G443" s="5">
        <v>8.571940144E10</v>
      </c>
      <c r="H443" s="5" t="s">
        <v>152</v>
      </c>
      <c r="I443" s="7" t="s">
        <v>190</v>
      </c>
      <c r="J443" s="54">
        <v>2000000.0</v>
      </c>
    </row>
    <row r="444">
      <c r="A444" s="9"/>
      <c r="B444" s="31"/>
      <c r="C444" s="9"/>
      <c r="D444" s="9"/>
      <c r="E444" s="9"/>
      <c r="F444" s="9"/>
      <c r="G444" s="9"/>
      <c r="H444" s="9"/>
      <c r="I444" s="7" t="s">
        <v>468</v>
      </c>
      <c r="J444" s="54">
        <v>3000000.0</v>
      </c>
    </row>
    <row r="445">
      <c r="A445" s="10"/>
      <c r="B445" s="32"/>
      <c r="C445" s="10"/>
      <c r="D445" s="9"/>
      <c r="E445" s="10"/>
      <c r="F445" s="10"/>
      <c r="G445" s="10"/>
      <c r="H445" s="10"/>
      <c r="I445" s="7" t="s">
        <v>245</v>
      </c>
      <c r="J445" s="54">
        <v>750000.0</v>
      </c>
    </row>
    <row r="446">
      <c r="A446" s="5">
        <v>149.0</v>
      </c>
      <c r="B446" s="30" t="s">
        <v>984</v>
      </c>
      <c r="C446" s="5" t="s">
        <v>160</v>
      </c>
      <c r="D446" s="5" t="s">
        <v>985</v>
      </c>
      <c r="E446" s="5" t="s">
        <v>734</v>
      </c>
      <c r="F446" s="5" t="s">
        <v>105</v>
      </c>
      <c r="G446" s="5">
        <v>8.571940144E10</v>
      </c>
      <c r="H446" s="5" t="s">
        <v>152</v>
      </c>
      <c r="I446" s="7" t="s">
        <v>190</v>
      </c>
      <c r="J446" s="54">
        <v>2000000.0</v>
      </c>
    </row>
    <row r="447">
      <c r="A447" s="9"/>
      <c r="B447" s="31"/>
      <c r="C447" s="9"/>
      <c r="D447" s="9"/>
      <c r="E447" s="9"/>
      <c r="F447" s="9"/>
      <c r="G447" s="9"/>
      <c r="H447" s="9"/>
      <c r="I447" s="7" t="s">
        <v>468</v>
      </c>
      <c r="J447" s="54">
        <v>3000000.0</v>
      </c>
    </row>
    <row r="448">
      <c r="A448" s="10"/>
      <c r="B448" s="32"/>
      <c r="C448" s="10"/>
      <c r="D448" s="10"/>
      <c r="E448" s="10"/>
      <c r="F448" s="10"/>
      <c r="G448" s="10"/>
      <c r="H448" s="10"/>
      <c r="I448" s="7" t="s">
        <v>245</v>
      </c>
      <c r="J448" s="54">
        <v>750000.0</v>
      </c>
    </row>
    <row r="449">
      <c r="A449" s="5">
        <v>150.0</v>
      </c>
      <c r="B449" s="30" t="s">
        <v>986</v>
      </c>
      <c r="C449" s="5" t="s">
        <v>160</v>
      </c>
      <c r="D449" s="5" t="s">
        <v>987</v>
      </c>
      <c r="E449" s="5" t="s">
        <v>734</v>
      </c>
      <c r="F449" s="5" t="s">
        <v>105</v>
      </c>
      <c r="G449" s="5">
        <v>8.571940144E10</v>
      </c>
      <c r="H449" s="5" t="s">
        <v>152</v>
      </c>
      <c r="I449" s="7" t="s">
        <v>190</v>
      </c>
      <c r="J449" s="54">
        <v>2000000.0</v>
      </c>
    </row>
    <row r="450">
      <c r="A450" s="9"/>
      <c r="B450" s="31"/>
      <c r="C450" s="9"/>
      <c r="D450" s="9"/>
      <c r="E450" s="9"/>
      <c r="F450" s="9"/>
      <c r="G450" s="9"/>
      <c r="H450" s="9"/>
      <c r="I450" s="7" t="s">
        <v>468</v>
      </c>
      <c r="J450" s="54">
        <v>3000000.0</v>
      </c>
    </row>
    <row r="451">
      <c r="A451" s="10"/>
      <c r="B451" s="32"/>
      <c r="C451" s="10"/>
      <c r="D451" s="10"/>
      <c r="E451" s="10"/>
      <c r="F451" s="10"/>
      <c r="G451" s="10"/>
      <c r="H451" s="10"/>
      <c r="I451" s="7" t="s">
        <v>245</v>
      </c>
      <c r="J451" s="54">
        <v>750000.0</v>
      </c>
    </row>
    <row r="452">
      <c r="A452" s="5">
        <v>151.0</v>
      </c>
      <c r="B452" s="30" t="s">
        <v>988</v>
      </c>
      <c r="C452" s="5" t="s">
        <v>160</v>
      </c>
      <c r="D452" s="5" t="s">
        <v>341</v>
      </c>
      <c r="E452" s="5" t="s">
        <v>734</v>
      </c>
      <c r="F452" s="5" t="s">
        <v>105</v>
      </c>
      <c r="G452" s="5">
        <v>8.571940144E10</v>
      </c>
      <c r="H452" s="5" t="s">
        <v>989</v>
      </c>
      <c r="I452" s="7" t="s">
        <v>190</v>
      </c>
      <c r="J452" s="54">
        <v>8000000.0</v>
      </c>
    </row>
    <row r="453">
      <c r="A453" s="9"/>
      <c r="B453" s="31"/>
      <c r="C453" s="9"/>
      <c r="D453" s="9"/>
      <c r="E453" s="9"/>
      <c r="F453" s="9"/>
      <c r="G453" s="9"/>
      <c r="H453" s="9"/>
      <c r="I453" s="7" t="s">
        <v>468</v>
      </c>
      <c r="J453" s="54">
        <v>8000000.0</v>
      </c>
    </row>
    <row r="454">
      <c r="A454" s="10"/>
      <c r="B454" s="32"/>
      <c r="C454" s="10"/>
      <c r="D454" s="10"/>
      <c r="E454" s="10"/>
      <c r="F454" s="10"/>
      <c r="G454" s="10"/>
      <c r="H454" s="10"/>
      <c r="I454" s="7" t="s">
        <v>245</v>
      </c>
      <c r="J454" s="54">
        <v>2000000.0</v>
      </c>
    </row>
    <row r="455">
      <c r="A455" s="5">
        <v>152.0</v>
      </c>
      <c r="B455" s="30" t="s">
        <v>990</v>
      </c>
      <c r="C455" s="5" t="s">
        <v>160</v>
      </c>
      <c r="D455" s="5" t="s">
        <v>991</v>
      </c>
      <c r="E455" s="5" t="s">
        <v>734</v>
      </c>
      <c r="F455" s="5" t="s">
        <v>105</v>
      </c>
      <c r="G455" s="5">
        <v>8.571940144E10</v>
      </c>
      <c r="H455" s="5" t="s">
        <v>174</v>
      </c>
      <c r="I455" s="7" t="s">
        <v>190</v>
      </c>
      <c r="J455" s="54">
        <v>4500000.0</v>
      </c>
    </row>
    <row r="456">
      <c r="A456" s="9"/>
      <c r="B456" s="31"/>
      <c r="C456" s="9"/>
      <c r="D456" s="9"/>
      <c r="E456" s="9"/>
      <c r="F456" s="9"/>
      <c r="G456" s="9"/>
      <c r="H456" s="9"/>
      <c r="I456" s="7" t="s">
        <v>468</v>
      </c>
      <c r="J456" s="54">
        <v>5000000.0</v>
      </c>
    </row>
    <row r="457">
      <c r="A457" s="10"/>
      <c r="B457" s="32"/>
      <c r="C457" s="10"/>
      <c r="D457" s="10"/>
      <c r="E457" s="10"/>
      <c r="F457" s="10"/>
      <c r="G457" s="10"/>
      <c r="H457" s="10"/>
      <c r="I457" s="7" t="s">
        <v>245</v>
      </c>
      <c r="J457" s="54">
        <v>750000.0</v>
      </c>
    </row>
    <row r="458">
      <c r="A458" s="5">
        <v>153.0</v>
      </c>
      <c r="B458" s="30" t="s">
        <v>992</v>
      </c>
      <c r="C458" s="5" t="s">
        <v>160</v>
      </c>
      <c r="D458" s="5" t="s">
        <v>993</v>
      </c>
      <c r="E458" s="5" t="s">
        <v>734</v>
      </c>
      <c r="F458" s="5" t="s">
        <v>105</v>
      </c>
      <c r="G458" s="5">
        <v>8.571940144E10</v>
      </c>
      <c r="H458" s="5" t="s">
        <v>174</v>
      </c>
      <c r="I458" s="7" t="s">
        <v>190</v>
      </c>
      <c r="J458" s="54">
        <v>4000000.0</v>
      </c>
    </row>
    <row r="459">
      <c r="A459" s="9"/>
      <c r="B459" s="31"/>
      <c r="C459" s="9"/>
      <c r="D459" s="9"/>
      <c r="E459" s="9"/>
      <c r="F459" s="9"/>
      <c r="G459" s="9"/>
      <c r="H459" s="9"/>
      <c r="I459" s="7" t="s">
        <v>468</v>
      </c>
      <c r="J459" s="54">
        <v>4500000.0</v>
      </c>
    </row>
    <row r="460">
      <c r="A460" s="10"/>
      <c r="B460" s="32"/>
      <c r="C460" s="10"/>
      <c r="D460" s="10"/>
      <c r="E460" s="10"/>
      <c r="F460" s="10"/>
      <c r="G460" s="10"/>
      <c r="H460" s="10"/>
      <c r="I460" s="7" t="s">
        <v>245</v>
      </c>
      <c r="J460" s="54">
        <v>750000.0</v>
      </c>
    </row>
    <row r="461">
      <c r="A461" s="5">
        <v>154.0</v>
      </c>
      <c r="B461" s="30" t="s">
        <v>994</v>
      </c>
      <c r="C461" s="5" t="s">
        <v>160</v>
      </c>
      <c r="D461" s="5" t="s">
        <v>995</v>
      </c>
      <c r="E461" s="5" t="s">
        <v>734</v>
      </c>
      <c r="F461" s="5" t="s">
        <v>105</v>
      </c>
      <c r="G461" s="5">
        <v>8.571940144E10</v>
      </c>
      <c r="H461" s="5" t="s">
        <v>174</v>
      </c>
      <c r="I461" s="7" t="s">
        <v>190</v>
      </c>
      <c r="J461" s="54">
        <v>4000000.0</v>
      </c>
    </row>
    <row r="462">
      <c r="A462" s="9"/>
      <c r="B462" s="31"/>
      <c r="C462" s="9"/>
      <c r="D462" s="9"/>
      <c r="E462" s="9"/>
      <c r="F462" s="9"/>
      <c r="G462" s="9"/>
      <c r="H462" s="9"/>
      <c r="I462" s="7" t="s">
        <v>468</v>
      </c>
      <c r="J462" s="54">
        <v>4500000.0</v>
      </c>
    </row>
    <row r="463">
      <c r="A463" s="10"/>
      <c r="B463" s="32"/>
      <c r="C463" s="10"/>
      <c r="D463" s="10"/>
      <c r="E463" s="10"/>
      <c r="F463" s="10"/>
      <c r="G463" s="10"/>
      <c r="H463" s="10"/>
      <c r="I463" s="7" t="s">
        <v>245</v>
      </c>
      <c r="J463" s="54">
        <v>750000.0</v>
      </c>
    </row>
    <row r="464">
      <c r="A464" s="5">
        <v>155.0</v>
      </c>
      <c r="B464" s="30" t="s">
        <v>996</v>
      </c>
      <c r="C464" s="5" t="s">
        <v>160</v>
      </c>
      <c r="D464" s="5" t="s">
        <v>738</v>
      </c>
      <c r="E464" s="5" t="s">
        <v>734</v>
      </c>
      <c r="F464" s="5" t="s">
        <v>105</v>
      </c>
      <c r="G464" s="5">
        <v>8.571940144E10</v>
      </c>
      <c r="H464" s="5" t="s">
        <v>174</v>
      </c>
      <c r="I464" s="7" t="s">
        <v>190</v>
      </c>
      <c r="J464" s="54">
        <v>3000000.0</v>
      </c>
    </row>
    <row r="465">
      <c r="A465" s="9"/>
      <c r="B465" s="31"/>
      <c r="C465" s="9"/>
      <c r="D465" s="9"/>
      <c r="E465" s="9"/>
      <c r="F465" s="9"/>
      <c r="G465" s="9"/>
      <c r="H465" s="9"/>
      <c r="I465" s="7" t="s">
        <v>468</v>
      </c>
      <c r="J465" s="54">
        <v>3500000.0</v>
      </c>
    </row>
    <row r="466">
      <c r="A466" s="10"/>
      <c r="B466" s="32"/>
      <c r="C466" s="10"/>
      <c r="D466" s="10"/>
      <c r="E466" s="10"/>
      <c r="F466" s="10"/>
      <c r="G466" s="10"/>
      <c r="H466" s="10"/>
      <c r="I466" s="7" t="s">
        <v>245</v>
      </c>
      <c r="J466" s="54">
        <v>750000.0</v>
      </c>
    </row>
    <row r="467">
      <c r="A467" s="5">
        <v>156.0</v>
      </c>
      <c r="B467" s="30" t="s">
        <v>997</v>
      </c>
      <c r="C467" s="5" t="s">
        <v>160</v>
      </c>
      <c r="D467" s="5" t="s">
        <v>998</v>
      </c>
      <c r="E467" s="5" t="s">
        <v>734</v>
      </c>
      <c r="F467" s="5" t="s">
        <v>105</v>
      </c>
      <c r="G467" s="5">
        <v>8.571940144E10</v>
      </c>
      <c r="H467" s="5" t="s">
        <v>174</v>
      </c>
      <c r="I467" s="7" t="s">
        <v>190</v>
      </c>
      <c r="J467" s="54">
        <v>1500000.0</v>
      </c>
    </row>
    <row r="468">
      <c r="A468" s="9"/>
      <c r="B468" s="31"/>
      <c r="C468" s="9"/>
      <c r="D468" s="9"/>
      <c r="E468" s="9"/>
      <c r="F468" s="9"/>
      <c r="G468" s="9"/>
      <c r="H468" s="9"/>
      <c r="I468" s="7" t="s">
        <v>468</v>
      </c>
      <c r="J468" s="54">
        <v>2000000.0</v>
      </c>
    </row>
    <row r="469">
      <c r="A469" s="10"/>
      <c r="B469" s="32"/>
      <c r="C469" s="10"/>
      <c r="D469" s="10"/>
      <c r="E469" s="10"/>
      <c r="F469" s="10"/>
      <c r="G469" s="10"/>
      <c r="H469" s="10"/>
      <c r="I469" s="7" t="s">
        <v>245</v>
      </c>
      <c r="J469" s="54">
        <v>500000.0</v>
      </c>
    </row>
    <row r="470">
      <c r="A470" s="5">
        <v>157.0</v>
      </c>
      <c r="B470" s="30" t="s">
        <v>999</v>
      </c>
      <c r="C470" s="5" t="s">
        <v>160</v>
      </c>
      <c r="D470" s="5" t="s">
        <v>1000</v>
      </c>
      <c r="E470" s="5" t="s">
        <v>734</v>
      </c>
      <c r="F470" s="5" t="s">
        <v>105</v>
      </c>
      <c r="G470" s="5">
        <v>8.571940144E10</v>
      </c>
      <c r="H470" s="5" t="s">
        <v>174</v>
      </c>
      <c r="I470" s="7" t="s">
        <v>190</v>
      </c>
      <c r="J470" s="54">
        <v>600000.0</v>
      </c>
    </row>
    <row r="471">
      <c r="A471" s="9"/>
      <c r="B471" s="31"/>
      <c r="C471" s="9"/>
      <c r="D471" s="9"/>
      <c r="E471" s="9"/>
      <c r="F471" s="9"/>
      <c r="G471" s="9"/>
      <c r="H471" s="9"/>
      <c r="I471" s="7" t="s">
        <v>468</v>
      </c>
      <c r="J471" s="54">
        <v>700000.0</v>
      </c>
    </row>
    <row r="472">
      <c r="A472" s="10"/>
      <c r="B472" s="32"/>
      <c r="C472" s="10"/>
      <c r="D472" s="10"/>
      <c r="E472" s="10"/>
      <c r="F472" s="10"/>
      <c r="G472" s="10"/>
      <c r="H472" s="10"/>
      <c r="I472" s="7" t="s">
        <v>245</v>
      </c>
      <c r="J472" s="54">
        <v>150000.0</v>
      </c>
    </row>
    <row r="473">
      <c r="A473" s="5">
        <v>158.0</v>
      </c>
      <c r="B473" s="30" t="s">
        <v>1001</v>
      </c>
      <c r="C473" s="5" t="s">
        <v>160</v>
      </c>
      <c r="D473" s="5" t="s">
        <v>1002</v>
      </c>
      <c r="E473" s="5" t="s">
        <v>734</v>
      </c>
      <c r="F473" s="5" t="s">
        <v>105</v>
      </c>
      <c r="G473" s="5">
        <v>8.571940144E10</v>
      </c>
      <c r="H473" s="5" t="s">
        <v>385</v>
      </c>
      <c r="I473" s="7" t="s">
        <v>190</v>
      </c>
      <c r="J473" s="54">
        <v>3000000.0</v>
      </c>
    </row>
    <row r="474">
      <c r="A474" s="9"/>
      <c r="B474" s="31"/>
      <c r="C474" s="9"/>
      <c r="D474" s="9"/>
      <c r="E474" s="9"/>
      <c r="F474" s="9"/>
      <c r="G474" s="9"/>
      <c r="H474" s="9"/>
      <c r="I474" s="7" t="s">
        <v>468</v>
      </c>
      <c r="J474" s="54">
        <v>3500000.0</v>
      </c>
    </row>
    <row r="475">
      <c r="A475" s="10"/>
      <c r="B475" s="32"/>
      <c r="C475" s="10"/>
      <c r="D475" s="10"/>
      <c r="E475" s="10"/>
      <c r="F475" s="10"/>
      <c r="G475" s="10"/>
      <c r="H475" s="10"/>
      <c r="I475" s="7" t="s">
        <v>245</v>
      </c>
      <c r="J475" s="54">
        <v>750000.0</v>
      </c>
    </row>
    <row r="476">
      <c r="A476" s="5">
        <v>159.0</v>
      </c>
      <c r="B476" s="30" t="s">
        <v>1003</v>
      </c>
      <c r="C476" s="5" t="s">
        <v>160</v>
      </c>
      <c r="D476" s="5" t="s">
        <v>341</v>
      </c>
      <c r="E476" s="5" t="s">
        <v>734</v>
      </c>
      <c r="F476" s="5" t="s">
        <v>105</v>
      </c>
      <c r="G476" s="5">
        <v>8.571940144E10</v>
      </c>
      <c r="H476" s="5" t="s">
        <v>385</v>
      </c>
      <c r="I476" s="7" t="s">
        <v>190</v>
      </c>
      <c r="J476" s="54">
        <v>6000000.0</v>
      </c>
    </row>
    <row r="477">
      <c r="A477" s="9"/>
      <c r="B477" s="31"/>
      <c r="C477" s="9"/>
      <c r="D477" s="9"/>
      <c r="E477" s="9"/>
      <c r="F477" s="9"/>
      <c r="G477" s="9"/>
      <c r="H477" s="9"/>
      <c r="I477" s="7" t="s">
        <v>468</v>
      </c>
      <c r="J477" s="54">
        <v>6000000.0</v>
      </c>
    </row>
    <row r="478">
      <c r="A478" s="10"/>
      <c r="B478" s="32"/>
      <c r="C478" s="10"/>
      <c r="D478" s="10"/>
      <c r="E478" s="10"/>
      <c r="F478" s="10"/>
      <c r="G478" s="10"/>
      <c r="H478" s="10"/>
      <c r="I478" s="7" t="s">
        <v>245</v>
      </c>
      <c r="J478" s="54">
        <v>2000000.0</v>
      </c>
    </row>
    <row r="479">
      <c r="A479" s="5">
        <v>160.0</v>
      </c>
      <c r="B479" s="30" t="s">
        <v>1004</v>
      </c>
      <c r="C479" s="5" t="s">
        <v>160</v>
      </c>
      <c r="D479" s="5" t="s">
        <v>1005</v>
      </c>
      <c r="E479" s="5" t="s">
        <v>734</v>
      </c>
      <c r="F479" s="5" t="s">
        <v>105</v>
      </c>
      <c r="G479" s="5">
        <v>8.571940144E10</v>
      </c>
      <c r="H479" s="5" t="s">
        <v>385</v>
      </c>
      <c r="I479" s="7" t="s">
        <v>190</v>
      </c>
      <c r="J479" s="54">
        <v>4000000.0</v>
      </c>
    </row>
    <row r="480">
      <c r="A480" s="9"/>
      <c r="B480" s="31"/>
      <c r="C480" s="9"/>
      <c r="D480" s="9"/>
      <c r="E480" s="9"/>
      <c r="F480" s="9"/>
      <c r="G480" s="9"/>
      <c r="H480" s="9"/>
      <c r="I480" s="7" t="s">
        <v>468</v>
      </c>
      <c r="J480" s="54">
        <v>4500000.0</v>
      </c>
    </row>
    <row r="481">
      <c r="A481" s="10"/>
      <c r="B481" s="32"/>
      <c r="C481" s="10"/>
      <c r="D481" s="10"/>
      <c r="E481" s="10"/>
      <c r="F481" s="10"/>
      <c r="G481" s="10"/>
      <c r="H481" s="10"/>
      <c r="I481" s="7" t="s">
        <v>245</v>
      </c>
      <c r="J481" s="54">
        <v>750000.0</v>
      </c>
    </row>
    <row r="482">
      <c r="A482" s="5">
        <v>161.0</v>
      </c>
      <c r="B482" s="30" t="s">
        <v>1006</v>
      </c>
      <c r="C482" s="5" t="s">
        <v>160</v>
      </c>
      <c r="D482" s="5" t="s">
        <v>1007</v>
      </c>
      <c r="E482" s="5" t="s">
        <v>734</v>
      </c>
      <c r="F482" s="5" t="s">
        <v>105</v>
      </c>
      <c r="G482" s="5">
        <v>8.571940144E10</v>
      </c>
      <c r="H482" s="5" t="s">
        <v>385</v>
      </c>
      <c r="I482" s="7" t="s">
        <v>190</v>
      </c>
      <c r="J482" s="54">
        <v>5500000.0</v>
      </c>
    </row>
    <row r="483">
      <c r="A483" s="9"/>
      <c r="B483" s="31"/>
      <c r="C483" s="9"/>
      <c r="D483" s="9"/>
      <c r="E483" s="9"/>
      <c r="F483" s="9"/>
      <c r="G483" s="9"/>
      <c r="H483" s="9"/>
      <c r="I483" s="7" t="s">
        <v>468</v>
      </c>
      <c r="J483" s="54">
        <v>6000000.0</v>
      </c>
    </row>
    <row r="484">
      <c r="A484" s="10"/>
      <c r="B484" s="32"/>
      <c r="C484" s="10"/>
      <c r="D484" s="10"/>
      <c r="E484" s="10"/>
      <c r="F484" s="10"/>
      <c r="G484" s="10"/>
      <c r="H484" s="10"/>
      <c r="I484" s="7" t="s">
        <v>245</v>
      </c>
      <c r="J484" s="54">
        <v>2250000.0</v>
      </c>
    </row>
    <row r="485">
      <c r="A485" s="5">
        <v>162.0</v>
      </c>
      <c r="B485" s="30" t="s">
        <v>1008</v>
      </c>
      <c r="C485" s="5" t="s">
        <v>160</v>
      </c>
      <c r="D485" s="5" t="s">
        <v>1009</v>
      </c>
      <c r="E485" s="5" t="s">
        <v>734</v>
      </c>
      <c r="F485" s="5" t="s">
        <v>105</v>
      </c>
      <c r="G485" s="5">
        <v>8.571940144E10</v>
      </c>
      <c r="H485" s="5" t="s">
        <v>385</v>
      </c>
      <c r="I485" s="7" t="s">
        <v>190</v>
      </c>
      <c r="J485" s="54">
        <v>4000000.0</v>
      </c>
    </row>
    <row r="486">
      <c r="A486" s="9"/>
      <c r="B486" s="31"/>
      <c r="C486" s="9"/>
      <c r="D486" s="9"/>
      <c r="E486" s="9"/>
      <c r="F486" s="9"/>
      <c r="G486" s="9"/>
      <c r="H486" s="9"/>
      <c r="I486" s="7" t="s">
        <v>468</v>
      </c>
      <c r="J486" s="54">
        <v>4500000.0</v>
      </c>
    </row>
    <row r="487">
      <c r="A487" s="10"/>
      <c r="B487" s="32"/>
      <c r="C487" s="10"/>
      <c r="D487" s="10"/>
      <c r="E487" s="10"/>
      <c r="F487" s="10"/>
      <c r="G487" s="10"/>
      <c r="H487" s="10"/>
      <c r="I487" s="7" t="s">
        <v>245</v>
      </c>
      <c r="J487" s="54">
        <v>750000.0</v>
      </c>
    </row>
    <row r="488">
      <c r="A488" s="5">
        <v>163.0</v>
      </c>
      <c r="B488" s="30" t="s">
        <v>1010</v>
      </c>
      <c r="C488" s="5" t="s">
        <v>160</v>
      </c>
      <c r="D488" s="5" t="s">
        <v>1011</v>
      </c>
      <c r="E488" s="5" t="s">
        <v>734</v>
      </c>
      <c r="F488" s="5" t="s">
        <v>105</v>
      </c>
      <c r="G488" s="5">
        <v>8.571940144E10</v>
      </c>
      <c r="H488" s="5" t="s">
        <v>385</v>
      </c>
      <c r="I488" s="7" t="s">
        <v>190</v>
      </c>
      <c r="J488" s="54">
        <v>600000.0</v>
      </c>
    </row>
    <row r="489">
      <c r="A489" s="9"/>
      <c r="B489" s="31"/>
      <c r="C489" s="9"/>
      <c r="D489" s="9"/>
      <c r="E489" s="9"/>
      <c r="F489" s="9"/>
      <c r="G489" s="9"/>
      <c r="H489" s="9"/>
      <c r="I489" s="7" t="s">
        <v>468</v>
      </c>
      <c r="J489" s="54">
        <v>700000.0</v>
      </c>
    </row>
    <row r="490">
      <c r="A490" s="10"/>
      <c r="B490" s="32"/>
      <c r="C490" s="10"/>
      <c r="D490" s="10"/>
      <c r="E490" s="10"/>
      <c r="F490" s="10"/>
      <c r="G490" s="10"/>
      <c r="H490" s="10"/>
      <c r="I490" s="7" t="s">
        <v>245</v>
      </c>
      <c r="J490" s="54">
        <v>150000.0</v>
      </c>
    </row>
    <row r="491">
      <c r="A491" s="5">
        <v>164.0</v>
      </c>
      <c r="B491" s="30" t="s">
        <v>1012</v>
      </c>
      <c r="C491" s="5" t="s">
        <v>160</v>
      </c>
      <c r="D491" s="5" t="s">
        <v>1013</v>
      </c>
      <c r="E491" s="5" t="s">
        <v>734</v>
      </c>
      <c r="F491" s="5" t="s">
        <v>105</v>
      </c>
      <c r="G491" s="5">
        <v>8.571940144E10</v>
      </c>
      <c r="H491" s="5" t="s">
        <v>385</v>
      </c>
      <c r="I491" s="7" t="s">
        <v>190</v>
      </c>
      <c r="J491" s="54">
        <v>1500000.0</v>
      </c>
    </row>
    <row r="492">
      <c r="A492" s="9"/>
      <c r="B492" s="31"/>
      <c r="C492" s="9"/>
      <c r="D492" s="9"/>
      <c r="E492" s="9"/>
      <c r="F492" s="9"/>
      <c r="G492" s="9"/>
      <c r="H492" s="9"/>
      <c r="I492" s="7" t="s">
        <v>468</v>
      </c>
      <c r="J492" s="54">
        <v>2000000.0</v>
      </c>
    </row>
    <row r="493">
      <c r="A493" s="10"/>
      <c r="B493" s="32"/>
      <c r="C493" s="10"/>
      <c r="D493" s="10"/>
      <c r="E493" s="10"/>
      <c r="F493" s="10"/>
      <c r="G493" s="10"/>
      <c r="H493" s="10"/>
      <c r="I493" s="7" t="s">
        <v>245</v>
      </c>
      <c r="J493" s="54">
        <v>500000.0</v>
      </c>
    </row>
    <row r="494">
      <c r="A494" s="5">
        <v>165.0</v>
      </c>
      <c r="B494" s="30" t="s">
        <v>1014</v>
      </c>
      <c r="C494" s="5" t="s">
        <v>160</v>
      </c>
      <c r="D494" s="5" t="s">
        <v>728</v>
      </c>
      <c r="E494" s="5" t="s">
        <v>734</v>
      </c>
      <c r="F494" s="5" t="s">
        <v>105</v>
      </c>
      <c r="G494" s="5">
        <v>8.571940144E10</v>
      </c>
      <c r="H494" s="5" t="s">
        <v>63</v>
      </c>
      <c r="I494" s="7" t="s">
        <v>190</v>
      </c>
      <c r="J494" s="54">
        <v>4000000.0</v>
      </c>
    </row>
    <row r="495">
      <c r="A495" s="9"/>
      <c r="B495" s="31"/>
      <c r="C495" s="9"/>
      <c r="D495" s="9"/>
      <c r="E495" s="9"/>
      <c r="F495" s="9"/>
      <c r="G495" s="9"/>
      <c r="H495" s="9"/>
      <c r="I495" s="7" t="s">
        <v>468</v>
      </c>
      <c r="J495" s="54">
        <v>4500000.0</v>
      </c>
    </row>
    <row r="496">
      <c r="A496" s="10"/>
      <c r="B496" s="32"/>
      <c r="C496" s="10"/>
      <c r="D496" s="10"/>
      <c r="E496" s="10"/>
      <c r="F496" s="10"/>
      <c r="G496" s="10"/>
      <c r="H496" s="10"/>
      <c r="I496" s="7" t="s">
        <v>245</v>
      </c>
      <c r="J496" s="54">
        <v>750000.0</v>
      </c>
    </row>
    <row r="497">
      <c r="A497" s="5">
        <v>166.0</v>
      </c>
      <c r="B497" s="30" t="s">
        <v>1015</v>
      </c>
      <c r="C497" s="5" t="s">
        <v>160</v>
      </c>
      <c r="D497" s="5">
        <v>5.882</v>
      </c>
      <c r="E497" s="5" t="s">
        <v>734</v>
      </c>
      <c r="F497" s="5" t="s">
        <v>105</v>
      </c>
      <c r="G497" s="5">
        <v>8.571940144E10</v>
      </c>
      <c r="H497" s="5" t="s">
        <v>63</v>
      </c>
      <c r="I497" s="7" t="s">
        <v>190</v>
      </c>
      <c r="J497" s="54">
        <v>3000000.0</v>
      </c>
    </row>
    <row r="498">
      <c r="A498" s="9"/>
      <c r="B498" s="31"/>
      <c r="C498" s="9"/>
      <c r="D498" s="9"/>
      <c r="E498" s="9"/>
      <c r="F498" s="9"/>
      <c r="G498" s="9"/>
      <c r="H498" s="9"/>
      <c r="I498" s="7" t="s">
        <v>468</v>
      </c>
      <c r="J498" s="54">
        <v>3500000.0</v>
      </c>
    </row>
    <row r="499">
      <c r="A499" s="10"/>
      <c r="B499" s="32"/>
      <c r="C499" s="10"/>
      <c r="D499" s="10"/>
      <c r="E499" s="10"/>
      <c r="F499" s="10"/>
      <c r="G499" s="10"/>
      <c r="H499" s="10"/>
      <c r="I499" s="7" t="s">
        <v>245</v>
      </c>
      <c r="J499" s="54">
        <v>750000.0</v>
      </c>
    </row>
    <row r="500">
      <c r="A500" s="5">
        <v>167.0</v>
      </c>
      <c r="B500" s="30" t="s">
        <v>1016</v>
      </c>
      <c r="C500" s="5" t="s">
        <v>160</v>
      </c>
      <c r="D500" s="5" t="s">
        <v>1017</v>
      </c>
      <c r="E500" s="5" t="s">
        <v>734</v>
      </c>
      <c r="F500" s="5" t="s">
        <v>105</v>
      </c>
      <c r="G500" s="5">
        <v>8.571940144E10</v>
      </c>
      <c r="H500" s="5" t="s">
        <v>63</v>
      </c>
      <c r="I500" s="7" t="s">
        <v>190</v>
      </c>
      <c r="J500" s="54">
        <v>2000000.0</v>
      </c>
    </row>
    <row r="501">
      <c r="A501" s="9"/>
      <c r="B501" s="31"/>
      <c r="C501" s="9"/>
      <c r="D501" s="9"/>
      <c r="E501" s="9"/>
      <c r="F501" s="9"/>
      <c r="G501" s="9"/>
      <c r="H501" s="9"/>
      <c r="I501" s="7" t="s">
        <v>468</v>
      </c>
      <c r="J501" s="54">
        <v>3000000.0</v>
      </c>
    </row>
    <row r="502">
      <c r="A502" s="10"/>
      <c r="B502" s="32"/>
      <c r="C502" s="10"/>
      <c r="D502" s="10"/>
      <c r="E502" s="10"/>
      <c r="F502" s="10"/>
      <c r="G502" s="10"/>
      <c r="H502" s="10"/>
      <c r="I502" s="7" t="s">
        <v>245</v>
      </c>
      <c r="J502" s="54">
        <v>750000.0</v>
      </c>
    </row>
    <row r="503">
      <c r="A503" s="5">
        <v>168.0</v>
      </c>
      <c r="B503" s="30" t="s">
        <v>1018</v>
      </c>
      <c r="C503" s="5" t="s">
        <v>160</v>
      </c>
      <c r="D503" s="5" t="s">
        <v>1019</v>
      </c>
      <c r="E503" s="5" t="s">
        <v>734</v>
      </c>
      <c r="F503" s="5" t="s">
        <v>105</v>
      </c>
      <c r="G503" s="5">
        <v>8.571940144E10</v>
      </c>
      <c r="H503" s="5" t="s">
        <v>63</v>
      </c>
      <c r="I503" s="7" t="s">
        <v>190</v>
      </c>
      <c r="J503" s="54">
        <v>4000000.0</v>
      </c>
    </row>
    <row r="504">
      <c r="A504" s="9"/>
      <c r="B504" s="31"/>
      <c r="C504" s="9"/>
      <c r="D504" s="9"/>
      <c r="E504" s="9"/>
      <c r="F504" s="9"/>
      <c r="G504" s="9"/>
      <c r="H504" s="9"/>
      <c r="I504" s="7" t="s">
        <v>468</v>
      </c>
      <c r="J504" s="54">
        <v>4500000.0</v>
      </c>
    </row>
    <row r="505">
      <c r="A505" s="10"/>
      <c r="B505" s="32"/>
      <c r="C505" s="10"/>
      <c r="D505" s="10"/>
      <c r="E505" s="10"/>
      <c r="F505" s="10"/>
      <c r="G505" s="10"/>
      <c r="H505" s="10"/>
      <c r="I505" s="7" t="s">
        <v>245</v>
      </c>
      <c r="J505" s="54">
        <v>750000.0</v>
      </c>
    </row>
    <row r="506">
      <c r="A506" s="5">
        <v>169.0</v>
      </c>
      <c r="B506" s="30" t="s">
        <v>1014</v>
      </c>
      <c r="C506" s="5" t="s">
        <v>160</v>
      </c>
      <c r="D506" s="5" t="s">
        <v>728</v>
      </c>
      <c r="E506" s="5" t="s">
        <v>734</v>
      </c>
      <c r="F506" s="5" t="s">
        <v>105</v>
      </c>
      <c r="G506" s="5">
        <v>8.571940144E10</v>
      </c>
      <c r="H506" s="5" t="s">
        <v>63</v>
      </c>
      <c r="I506" s="7" t="s">
        <v>190</v>
      </c>
      <c r="J506" s="54">
        <v>2000000.0</v>
      </c>
    </row>
    <row r="507">
      <c r="A507" s="9"/>
      <c r="B507" s="31"/>
      <c r="C507" s="9"/>
      <c r="D507" s="9"/>
      <c r="E507" s="9"/>
      <c r="F507" s="9"/>
      <c r="G507" s="9"/>
      <c r="H507" s="9"/>
      <c r="I507" s="7" t="s">
        <v>468</v>
      </c>
      <c r="J507" s="54">
        <v>3000000.0</v>
      </c>
    </row>
    <row r="508">
      <c r="A508" s="10"/>
      <c r="B508" s="32"/>
      <c r="C508" s="10"/>
      <c r="D508" s="10"/>
      <c r="E508" s="10"/>
      <c r="F508" s="10"/>
      <c r="G508" s="10"/>
      <c r="H508" s="10"/>
      <c r="I508" s="7" t="s">
        <v>245</v>
      </c>
      <c r="J508" s="54">
        <v>750000.0</v>
      </c>
    </row>
    <row r="509">
      <c r="A509" s="5">
        <v>170.0</v>
      </c>
      <c r="B509" s="30" t="s">
        <v>1020</v>
      </c>
      <c r="C509" s="5" t="s">
        <v>160</v>
      </c>
      <c r="D509" s="5" t="s">
        <v>1021</v>
      </c>
      <c r="E509" s="5" t="s">
        <v>734</v>
      </c>
      <c r="F509" s="5" t="s">
        <v>105</v>
      </c>
      <c r="G509" s="5">
        <v>8.571940144E10</v>
      </c>
      <c r="H509" s="5" t="s">
        <v>13</v>
      </c>
      <c r="I509" s="7" t="s">
        <v>190</v>
      </c>
      <c r="J509" s="54">
        <v>3000000.0</v>
      </c>
    </row>
    <row r="510">
      <c r="A510" s="9"/>
      <c r="B510" s="31"/>
      <c r="C510" s="9"/>
      <c r="D510" s="9"/>
      <c r="E510" s="9"/>
      <c r="F510" s="9"/>
      <c r="G510" s="9"/>
      <c r="H510" s="9"/>
      <c r="I510" s="7" t="s">
        <v>468</v>
      </c>
      <c r="J510" s="54">
        <v>3000000.0</v>
      </c>
    </row>
    <row r="511">
      <c r="A511" s="10"/>
      <c r="B511" s="32"/>
      <c r="C511" s="10"/>
      <c r="D511" s="10"/>
      <c r="E511" s="10"/>
      <c r="F511" s="10"/>
      <c r="G511" s="10"/>
      <c r="H511" s="10"/>
      <c r="I511" s="7" t="s">
        <v>245</v>
      </c>
      <c r="J511" s="54">
        <v>750000.0</v>
      </c>
    </row>
    <row r="512">
      <c r="A512" s="5">
        <v>171.0</v>
      </c>
      <c r="B512" s="30" t="s">
        <v>1022</v>
      </c>
      <c r="C512" s="5" t="s">
        <v>160</v>
      </c>
      <c r="D512" s="5" t="s">
        <v>1023</v>
      </c>
      <c r="E512" s="5" t="s">
        <v>734</v>
      </c>
      <c r="F512" s="5" t="s">
        <v>105</v>
      </c>
      <c r="G512" s="5">
        <v>8.571940144E10</v>
      </c>
      <c r="H512" s="5" t="s">
        <v>13</v>
      </c>
      <c r="I512" s="7" t="s">
        <v>190</v>
      </c>
      <c r="J512" s="54">
        <v>4000000.0</v>
      </c>
    </row>
    <row r="513">
      <c r="A513" s="9"/>
      <c r="B513" s="31"/>
      <c r="C513" s="9"/>
      <c r="D513" s="9"/>
      <c r="E513" s="9"/>
      <c r="F513" s="9"/>
      <c r="G513" s="9"/>
      <c r="H513" s="9"/>
      <c r="I513" s="7" t="s">
        <v>468</v>
      </c>
      <c r="J513" s="54">
        <v>4500000.0</v>
      </c>
    </row>
    <row r="514">
      <c r="A514" s="10"/>
      <c r="B514" s="32"/>
      <c r="C514" s="10"/>
      <c r="D514" s="10"/>
      <c r="E514" s="10"/>
      <c r="F514" s="10"/>
      <c r="G514" s="10"/>
      <c r="H514" s="10"/>
      <c r="I514" s="7" t="s">
        <v>245</v>
      </c>
      <c r="J514" s="54">
        <v>750000.0</v>
      </c>
    </row>
    <row r="515">
      <c r="A515" s="5">
        <v>172.0</v>
      </c>
      <c r="B515" s="30" t="s">
        <v>1024</v>
      </c>
      <c r="C515" s="5" t="s">
        <v>160</v>
      </c>
      <c r="D515" s="5" t="s">
        <v>418</v>
      </c>
      <c r="E515" s="5" t="s">
        <v>734</v>
      </c>
      <c r="F515" s="5" t="s">
        <v>105</v>
      </c>
      <c r="G515" s="5">
        <v>8.571940144E10</v>
      </c>
      <c r="H515" s="5" t="s">
        <v>13</v>
      </c>
      <c r="I515" s="7" t="s">
        <v>190</v>
      </c>
      <c r="J515" s="54">
        <v>5000000.0</v>
      </c>
    </row>
    <row r="516">
      <c r="A516" s="9"/>
      <c r="B516" s="31"/>
      <c r="C516" s="9"/>
      <c r="D516" s="9"/>
      <c r="E516" s="9"/>
      <c r="F516" s="9"/>
      <c r="G516" s="9"/>
      <c r="H516" s="9"/>
      <c r="I516" s="7" t="s">
        <v>468</v>
      </c>
      <c r="J516" s="54">
        <v>6000000.0</v>
      </c>
    </row>
    <row r="517">
      <c r="A517" s="10"/>
      <c r="B517" s="32"/>
      <c r="C517" s="10"/>
      <c r="D517" s="10"/>
      <c r="E517" s="10"/>
      <c r="F517" s="10"/>
      <c r="G517" s="10"/>
      <c r="H517" s="10"/>
      <c r="I517" s="7" t="s">
        <v>245</v>
      </c>
      <c r="J517" s="54">
        <v>750000.0</v>
      </c>
    </row>
    <row r="518">
      <c r="A518" s="5">
        <v>173.0</v>
      </c>
      <c r="B518" s="30" t="s">
        <v>1025</v>
      </c>
      <c r="C518" s="5" t="s">
        <v>160</v>
      </c>
      <c r="D518" s="5" t="s">
        <v>1026</v>
      </c>
      <c r="E518" s="5" t="s">
        <v>734</v>
      </c>
      <c r="F518" s="5" t="s">
        <v>105</v>
      </c>
      <c r="G518" s="5">
        <v>8.571940144E10</v>
      </c>
      <c r="H518" s="5" t="s">
        <v>13</v>
      </c>
      <c r="I518" s="7" t="s">
        <v>190</v>
      </c>
      <c r="J518" s="54">
        <v>2000000.0</v>
      </c>
    </row>
    <row r="519">
      <c r="A519" s="9"/>
      <c r="B519" s="31"/>
      <c r="C519" s="9"/>
      <c r="D519" s="9"/>
      <c r="E519" s="9"/>
      <c r="F519" s="9"/>
      <c r="G519" s="9"/>
      <c r="H519" s="9"/>
      <c r="I519" s="7" t="s">
        <v>468</v>
      </c>
      <c r="J519" s="54">
        <v>3000000.0</v>
      </c>
    </row>
    <row r="520">
      <c r="A520" s="10"/>
      <c r="B520" s="32"/>
      <c r="C520" s="10"/>
      <c r="D520" s="10"/>
      <c r="E520" s="10"/>
      <c r="F520" s="10"/>
      <c r="G520" s="10"/>
      <c r="H520" s="10"/>
      <c r="I520" s="7" t="s">
        <v>245</v>
      </c>
      <c r="J520" s="54">
        <v>750000.0</v>
      </c>
    </row>
    <row r="521">
      <c r="A521" s="5">
        <v>174.0</v>
      </c>
      <c r="B521" s="53" t="s">
        <v>1027</v>
      </c>
      <c r="C521" s="5" t="s">
        <v>160</v>
      </c>
      <c r="D521" s="5" t="s">
        <v>1028</v>
      </c>
      <c r="E521" s="5" t="s">
        <v>734</v>
      </c>
      <c r="F521" s="5" t="s">
        <v>105</v>
      </c>
      <c r="G521" s="5">
        <v>8.571940144E10</v>
      </c>
      <c r="H521" s="5" t="s">
        <v>13</v>
      </c>
      <c r="I521" s="7" t="s">
        <v>190</v>
      </c>
      <c r="J521" s="54">
        <v>1500000.0</v>
      </c>
    </row>
    <row r="522">
      <c r="A522" s="9"/>
      <c r="B522" s="31"/>
      <c r="C522" s="9"/>
      <c r="D522" s="9"/>
      <c r="E522" s="9"/>
      <c r="F522" s="9"/>
      <c r="G522" s="9"/>
      <c r="H522" s="9"/>
      <c r="I522" s="7" t="s">
        <v>468</v>
      </c>
      <c r="J522" s="54">
        <v>1500000.0</v>
      </c>
    </row>
    <row r="523">
      <c r="A523" s="10"/>
      <c r="B523" s="32"/>
      <c r="C523" s="10"/>
      <c r="D523" s="10"/>
      <c r="E523" s="10"/>
      <c r="F523" s="10"/>
      <c r="G523" s="10"/>
      <c r="H523" s="10"/>
      <c r="I523" s="7" t="s">
        <v>245</v>
      </c>
      <c r="J523" s="54">
        <v>1500000.0</v>
      </c>
    </row>
    <row r="524">
      <c r="A524" s="5">
        <v>175.0</v>
      </c>
      <c r="B524" s="30" t="s">
        <v>796</v>
      </c>
      <c r="C524" s="5" t="s">
        <v>160</v>
      </c>
      <c r="D524" s="5" t="s">
        <v>1029</v>
      </c>
      <c r="E524" s="5" t="s">
        <v>734</v>
      </c>
      <c r="F524" s="5" t="s">
        <v>105</v>
      </c>
      <c r="G524" s="5">
        <v>8.571940144E10</v>
      </c>
      <c r="H524" s="5" t="s">
        <v>13</v>
      </c>
      <c r="I524" s="7" t="s">
        <v>190</v>
      </c>
      <c r="J524" s="54">
        <v>3750000.0</v>
      </c>
    </row>
    <row r="525">
      <c r="A525" s="9"/>
      <c r="B525" s="31"/>
      <c r="C525" s="9"/>
      <c r="D525" s="9"/>
      <c r="E525" s="9"/>
      <c r="F525" s="9"/>
      <c r="G525" s="9"/>
      <c r="H525" s="9"/>
      <c r="I525" s="7" t="s">
        <v>468</v>
      </c>
      <c r="J525" s="54">
        <v>3750000.0</v>
      </c>
    </row>
    <row r="526">
      <c r="A526" s="10"/>
      <c r="B526" s="32"/>
      <c r="C526" s="10"/>
      <c r="D526" s="10"/>
      <c r="E526" s="10"/>
      <c r="F526" s="10"/>
      <c r="G526" s="10"/>
      <c r="H526" s="10"/>
      <c r="I526" s="7" t="s">
        <v>245</v>
      </c>
      <c r="J526" s="54">
        <v>1800000.0</v>
      </c>
    </row>
    <row r="527">
      <c r="A527" s="5">
        <v>176.0</v>
      </c>
      <c r="B527" s="30" t="s">
        <v>1030</v>
      </c>
      <c r="C527" s="5" t="s">
        <v>160</v>
      </c>
      <c r="D527" s="5" t="s">
        <v>1031</v>
      </c>
      <c r="E527" s="5" t="s">
        <v>734</v>
      </c>
      <c r="F527" s="5" t="s">
        <v>105</v>
      </c>
      <c r="G527" s="5">
        <v>8.571940144E10</v>
      </c>
      <c r="H527" s="5" t="s">
        <v>13</v>
      </c>
      <c r="I527" s="7" t="s">
        <v>190</v>
      </c>
      <c r="J527" s="54">
        <v>2000000.0</v>
      </c>
    </row>
    <row r="528">
      <c r="A528" s="9"/>
      <c r="B528" s="31"/>
      <c r="C528" s="9"/>
      <c r="D528" s="9"/>
      <c r="E528" s="9"/>
      <c r="F528" s="9"/>
      <c r="G528" s="9"/>
      <c r="H528" s="9"/>
      <c r="I528" s="7" t="s">
        <v>468</v>
      </c>
      <c r="J528" s="54">
        <v>3000000.0</v>
      </c>
    </row>
    <row r="529">
      <c r="A529" s="10"/>
      <c r="B529" s="32"/>
      <c r="C529" s="10"/>
      <c r="D529" s="10"/>
      <c r="E529" s="10"/>
      <c r="F529" s="10"/>
      <c r="G529" s="10"/>
      <c r="H529" s="10"/>
      <c r="I529" s="7" t="s">
        <v>245</v>
      </c>
      <c r="J529" s="54">
        <v>750000.0</v>
      </c>
    </row>
    <row r="530">
      <c r="A530" s="5">
        <v>177.0</v>
      </c>
      <c r="B530" s="30" t="s">
        <v>1032</v>
      </c>
      <c r="C530" s="5" t="s">
        <v>160</v>
      </c>
      <c r="D530" s="5" t="s">
        <v>1033</v>
      </c>
      <c r="E530" s="5" t="s">
        <v>734</v>
      </c>
      <c r="F530" s="5" t="s">
        <v>105</v>
      </c>
      <c r="G530" s="5">
        <v>8.571940144E10</v>
      </c>
      <c r="H530" s="5" t="s">
        <v>1034</v>
      </c>
      <c r="I530" s="7" t="s">
        <v>190</v>
      </c>
      <c r="J530" s="54">
        <v>2000000.0</v>
      </c>
    </row>
    <row r="531">
      <c r="A531" s="9"/>
      <c r="B531" s="31"/>
      <c r="C531" s="9"/>
      <c r="D531" s="9"/>
      <c r="E531" s="9"/>
      <c r="F531" s="9"/>
      <c r="G531" s="9"/>
      <c r="H531" s="9"/>
      <c r="I531" s="7" t="s">
        <v>468</v>
      </c>
      <c r="J531" s="54">
        <v>3000000.0</v>
      </c>
    </row>
    <row r="532">
      <c r="A532" s="10"/>
      <c r="B532" s="32"/>
      <c r="C532" s="10"/>
      <c r="D532" s="10"/>
      <c r="E532" s="10"/>
      <c r="F532" s="10"/>
      <c r="G532" s="10"/>
      <c r="H532" s="10"/>
      <c r="I532" s="7" t="s">
        <v>245</v>
      </c>
      <c r="J532" s="54">
        <v>750000.0</v>
      </c>
    </row>
    <row r="533">
      <c r="A533" s="5">
        <v>178.0</v>
      </c>
      <c r="B533" s="30" t="s">
        <v>1035</v>
      </c>
      <c r="C533" s="5" t="s">
        <v>160</v>
      </c>
      <c r="D533" s="5" t="s">
        <v>760</v>
      </c>
      <c r="E533" s="5" t="s">
        <v>734</v>
      </c>
      <c r="F533" s="5" t="s">
        <v>105</v>
      </c>
      <c r="G533" s="5">
        <v>8.571940144E10</v>
      </c>
      <c r="H533" s="5" t="s">
        <v>1034</v>
      </c>
      <c r="I533" s="7" t="s">
        <v>190</v>
      </c>
      <c r="J533" s="54">
        <v>2000000.0</v>
      </c>
    </row>
    <row r="534">
      <c r="A534" s="9"/>
      <c r="B534" s="31"/>
      <c r="C534" s="9"/>
      <c r="D534" s="9"/>
      <c r="E534" s="9"/>
      <c r="F534" s="9"/>
      <c r="G534" s="9"/>
      <c r="H534" s="9"/>
      <c r="I534" s="7" t="s">
        <v>468</v>
      </c>
      <c r="J534" s="54">
        <v>3000000.0</v>
      </c>
    </row>
    <row r="535">
      <c r="A535" s="10"/>
      <c r="B535" s="32"/>
      <c r="C535" s="10"/>
      <c r="D535" s="10"/>
      <c r="E535" s="10"/>
      <c r="F535" s="10"/>
      <c r="G535" s="10"/>
      <c r="H535" s="10"/>
      <c r="I535" s="7" t="s">
        <v>245</v>
      </c>
      <c r="J535" s="54">
        <v>750000.0</v>
      </c>
    </row>
    <row r="536">
      <c r="A536" s="5">
        <v>179.0</v>
      </c>
      <c r="B536" s="30" t="s">
        <v>1036</v>
      </c>
      <c r="C536" s="5" t="s">
        <v>160</v>
      </c>
      <c r="D536" s="5" t="s">
        <v>363</v>
      </c>
      <c r="E536" s="5" t="s">
        <v>734</v>
      </c>
      <c r="F536" s="5" t="s">
        <v>105</v>
      </c>
      <c r="G536" s="5">
        <v>8.571940144E10</v>
      </c>
      <c r="H536" s="5" t="s">
        <v>1034</v>
      </c>
      <c r="I536" s="7" t="s">
        <v>190</v>
      </c>
      <c r="J536" s="54">
        <v>2000000.0</v>
      </c>
    </row>
    <row r="537">
      <c r="A537" s="9"/>
      <c r="B537" s="31"/>
      <c r="C537" s="9"/>
      <c r="D537" s="9"/>
      <c r="E537" s="9"/>
      <c r="F537" s="9"/>
      <c r="G537" s="9"/>
      <c r="H537" s="9"/>
      <c r="I537" s="7" t="s">
        <v>468</v>
      </c>
      <c r="J537" s="54">
        <v>3000000.0</v>
      </c>
    </row>
    <row r="538">
      <c r="A538" s="10"/>
      <c r="B538" s="32"/>
      <c r="C538" s="10"/>
      <c r="D538" s="10"/>
      <c r="E538" s="10"/>
      <c r="F538" s="10"/>
      <c r="G538" s="10"/>
      <c r="H538" s="10"/>
      <c r="I538" s="7" t="s">
        <v>245</v>
      </c>
      <c r="J538" s="54">
        <v>750000.0</v>
      </c>
    </row>
    <row r="539">
      <c r="A539" s="5">
        <v>180.0</v>
      </c>
      <c r="B539" s="30" t="s">
        <v>1037</v>
      </c>
      <c r="C539" s="5" t="s">
        <v>160</v>
      </c>
      <c r="D539" s="5" t="s">
        <v>1038</v>
      </c>
      <c r="E539" s="5" t="s">
        <v>734</v>
      </c>
      <c r="F539" s="5" t="s">
        <v>105</v>
      </c>
      <c r="G539" s="5">
        <v>8.571940144E10</v>
      </c>
      <c r="H539" s="5" t="s">
        <v>1034</v>
      </c>
      <c r="I539" s="7" t="s">
        <v>190</v>
      </c>
      <c r="J539" s="54">
        <v>2000000.0</v>
      </c>
    </row>
    <row r="540">
      <c r="A540" s="9"/>
      <c r="B540" s="31"/>
      <c r="C540" s="9"/>
      <c r="D540" s="9"/>
      <c r="E540" s="9"/>
      <c r="F540" s="9"/>
      <c r="G540" s="9"/>
      <c r="H540" s="9"/>
      <c r="I540" s="7" t="s">
        <v>468</v>
      </c>
      <c r="J540" s="54">
        <v>3000000.0</v>
      </c>
    </row>
    <row r="541">
      <c r="A541" s="10"/>
      <c r="B541" s="32"/>
      <c r="C541" s="10"/>
      <c r="D541" s="10"/>
      <c r="E541" s="10"/>
      <c r="F541" s="10"/>
      <c r="G541" s="10"/>
      <c r="H541" s="10"/>
      <c r="I541" s="7" t="s">
        <v>245</v>
      </c>
      <c r="J541" s="54">
        <v>750000.0</v>
      </c>
    </row>
    <row r="542">
      <c r="A542" s="5">
        <v>181.0</v>
      </c>
      <c r="B542" s="30" t="s">
        <v>1039</v>
      </c>
      <c r="C542" s="5" t="s">
        <v>160</v>
      </c>
      <c r="D542" s="5" t="s">
        <v>1040</v>
      </c>
      <c r="E542" s="5" t="s">
        <v>734</v>
      </c>
      <c r="F542" s="5" t="s">
        <v>105</v>
      </c>
      <c r="G542" s="5">
        <v>8.571940144E10</v>
      </c>
      <c r="H542" s="5" t="s">
        <v>1034</v>
      </c>
      <c r="I542" s="7" t="s">
        <v>190</v>
      </c>
      <c r="J542" s="54">
        <v>200000.0</v>
      </c>
    </row>
    <row r="543">
      <c r="A543" s="9"/>
      <c r="B543" s="31"/>
      <c r="C543" s="9"/>
      <c r="D543" s="9"/>
      <c r="E543" s="9"/>
      <c r="F543" s="9"/>
      <c r="G543" s="9"/>
      <c r="H543" s="9"/>
      <c r="I543" s="7" t="s">
        <v>468</v>
      </c>
      <c r="J543" s="54">
        <v>300000.0</v>
      </c>
    </row>
    <row r="544">
      <c r="A544" s="10"/>
      <c r="B544" s="32"/>
      <c r="C544" s="10"/>
      <c r="D544" s="10"/>
      <c r="E544" s="10"/>
      <c r="F544" s="10"/>
      <c r="G544" s="10"/>
      <c r="H544" s="10"/>
      <c r="I544" s="7" t="s">
        <v>245</v>
      </c>
      <c r="J544" s="54">
        <v>150000.0</v>
      </c>
    </row>
    <row r="545">
      <c r="A545" s="5">
        <v>182.0</v>
      </c>
      <c r="B545" s="30" t="s">
        <v>1041</v>
      </c>
      <c r="C545" s="5" t="s">
        <v>160</v>
      </c>
      <c r="D545" s="5" t="s">
        <v>1042</v>
      </c>
      <c r="E545" s="5" t="s">
        <v>734</v>
      </c>
      <c r="F545" s="5" t="s">
        <v>105</v>
      </c>
      <c r="G545" s="5">
        <v>8.571940144E10</v>
      </c>
      <c r="H545" s="5" t="s">
        <v>1034</v>
      </c>
      <c r="I545" s="7" t="s">
        <v>190</v>
      </c>
      <c r="J545" s="54">
        <v>2000000.0</v>
      </c>
    </row>
    <row r="546">
      <c r="A546" s="9"/>
      <c r="B546" s="31"/>
      <c r="C546" s="9"/>
      <c r="D546" s="9"/>
      <c r="E546" s="9"/>
      <c r="F546" s="9"/>
      <c r="G546" s="9"/>
      <c r="H546" s="9"/>
      <c r="I546" s="7" t="s">
        <v>468</v>
      </c>
      <c r="J546" s="54">
        <v>3000000.0</v>
      </c>
    </row>
    <row r="547">
      <c r="A547" s="10"/>
      <c r="B547" s="32"/>
      <c r="C547" s="10"/>
      <c r="D547" s="10"/>
      <c r="E547" s="10"/>
      <c r="F547" s="10"/>
      <c r="G547" s="10"/>
      <c r="H547" s="10"/>
      <c r="I547" s="7" t="s">
        <v>245</v>
      </c>
      <c r="J547" s="54">
        <v>750000.0</v>
      </c>
    </row>
    <row r="548">
      <c r="A548" s="5">
        <v>183.0</v>
      </c>
      <c r="B548" s="30" t="s">
        <v>1043</v>
      </c>
      <c r="C548" s="5" t="s">
        <v>160</v>
      </c>
      <c r="D548" s="5" t="s">
        <v>1044</v>
      </c>
      <c r="E548" s="5" t="s">
        <v>734</v>
      </c>
      <c r="F548" s="5" t="s">
        <v>105</v>
      </c>
      <c r="G548" s="5">
        <v>8.571940144E10</v>
      </c>
      <c r="H548" s="5" t="s">
        <v>524</v>
      </c>
      <c r="I548" s="7" t="s">
        <v>190</v>
      </c>
      <c r="J548" s="54">
        <v>2000000.0</v>
      </c>
    </row>
    <row r="549">
      <c r="A549" s="9"/>
      <c r="B549" s="31"/>
      <c r="C549" s="9"/>
      <c r="D549" s="9"/>
      <c r="E549" s="9"/>
      <c r="F549" s="9"/>
      <c r="G549" s="9"/>
      <c r="H549" s="9"/>
      <c r="I549" s="7" t="s">
        <v>468</v>
      </c>
      <c r="J549" s="54">
        <v>3000000.0</v>
      </c>
    </row>
    <row r="550">
      <c r="A550" s="10"/>
      <c r="B550" s="32"/>
      <c r="C550" s="10"/>
      <c r="D550" s="10"/>
      <c r="E550" s="10"/>
      <c r="F550" s="10"/>
      <c r="G550" s="10"/>
      <c r="H550" s="10"/>
      <c r="I550" s="7" t="s">
        <v>245</v>
      </c>
      <c r="J550" s="54">
        <v>750000.0</v>
      </c>
    </row>
    <row r="551">
      <c r="A551" s="5">
        <v>184.0</v>
      </c>
      <c r="B551" s="30" t="s">
        <v>1045</v>
      </c>
      <c r="C551" s="5" t="s">
        <v>160</v>
      </c>
      <c r="D551" s="5" t="s">
        <v>1046</v>
      </c>
      <c r="E551" s="5" t="s">
        <v>734</v>
      </c>
      <c r="F551" s="5" t="s">
        <v>105</v>
      </c>
      <c r="G551" s="5">
        <v>8.571940144E10</v>
      </c>
      <c r="H551" s="5" t="s">
        <v>524</v>
      </c>
      <c r="I551" s="7" t="s">
        <v>190</v>
      </c>
      <c r="J551" s="54">
        <v>2000000.0</v>
      </c>
    </row>
    <row r="552">
      <c r="A552" s="9"/>
      <c r="B552" s="31"/>
      <c r="C552" s="9"/>
      <c r="D552" s="9"/>
      <c r="E552" s="9"/>
      <c r="F552" s="9"/>
      <c r="G552" s="9"/>
      <c r="H552" s="9"/>
      <c r="I552" s="7" t="s">
        <v>468</v>
      </c>
      <c r="J552" s="54">
        <v>3000000.0</v>
      </c>
    </row>
    <row r="553">
      <c r="A553" s="10"/>
      <c r="B553" s="32"/>
      <c r="C553" s="10"/>
      <c r="D553" s="10"/>
      <c r="E553" s="10"/>
      <c r="F553" s="10"/>
      <c r="G553" s="10"/>
      <c r="H553" s="10"/>
      <c r="I553" s="7" t="s">
        <v>245</v>
      </c>
      <c r="J553" s="54">
        <v>750000.0</v>
      </c>
    </row>
    <row r="554">
      <c r="A554" s="5">
        <v>185.0</v>
      </c>
      <c r="B554" s="30" t="s">
        <v>1047</v>
      </c>
      <c r="C554" s="5" t="s">
        <v>160</v>
      </c>
      <c r="D554" s="5" t="s">
        <v>1048</v>
      </c>
      <c r="E554" s="5" t="s">
        <v>734</v>
      </c>
      <c r="F554" s="5" t="s">
        <v>105</v>
      </c>
      <c r="G554" s="5">
        <v>8.571940144E10</v>
      </c>
      <c r="H554" s="5" t="s">
        <v>524</v>
      </c>
      <c r="I554" s="7" t="s">
        <v>190</v>
      </c>
      <c r="J554" s="54">
        <v>4500000.0</v>
      </c>
    </row>
    <row r="555">
      <c r="A555" s="9"/>
      <c r="B555" s="31"/>
      <c r="C555" s="9"/>
      <c r="D555" s="9"/>
      <c r="E555" s="9"/>
      <c r="F555" s="9"/>
      <c r="G555" s="9"/>
      <c r="H555" s="9"/>
      <c r="I555" s="7" t="s">
        <v>468</v>
      </c>
      <c r="J555" s="54">
        <v>5000000.0</v>
      </c>
    </row>
    <row r="556">
      <c r="A556" s="10"/>
      <c r="B556" s="32"/>
      <c r="C556" s="10"/>
      <c r="D556" s="10"/>
      <c r="E556" s="10"/>
      <c r="F556" s="10"/>
      <c r="G556" s="10"/>
      <c r="H556" s="10"/>
      <c r="I556" s="7" t="s">
        <v>245</v>
      </c>
      <c r="J556" s="54">
        <v>750000.0</v>
      </c>
    </row>
    <row r="557">
      <c r="A557" s="5">
        <v>186.0</v>
      </c>
      <c r="B557" s="30" t="s">
        <v>1049</v>
      </c>
      <c r="C557" s="5" t="s">
        <v>160</v>
      </c>
      <c r="D557" s="5" t="s">
        <v>1050</v>
      </c>
      <c r="E557" s="5" t="s">
        <v>734</v>
      </c>
      <c r="F557" s="5" t="s">
        <v>105</v>
      </c>
      <c r="G557" s="5">
        <v>8.571940144E10</v>
      </c>
      <c r="H557" s="5" t="s">
        <v>524</v>
      </c>
      <c r="I557" s="7" t="s">
        <v>190</v>
      </c>
      <c r="J557" s="54">
        <v>600000.0</v>
      </c>
    </row>
    <row r="558">
      <c r="A558" s="9"/>
      <c r="B558" s="31"/>
      <c r="C558" s="9"/>
      <c r="D558" s="9"/>
      <c r="E558" s="9"/>
      <c r="F558" s="9"/>
      <c r="G558" s="9"/>
      <c r="H558" s="9"/>
      <c r="I558" s="7" t="s">
        <v>468</v>
      </c>
      <c r="J558" s="54">
        <v>700000.0</v>
      </c>
    </row>
    <row r="559">
      <c r="A559" s="10"/>
      <c r="B559" s="32"/>
      <c r="C559" s="10"/>
      <c r="D559" s="10"/>
      <c r="E559" s="10"/>
      <c r="F559" s="10"/>
      <c r="G559" s="10"/>
      <c r="H559" s="10"/>
      <c r="I559" s="7" t="s">
        <v>245</v>
      </c>
      <c r="J559" s="54">
        <v>150000.0</v>
      </c>
    </row>
    <row r="560">
      <c r="A560" s="5">
        <v>187.0</v>
      </c>
      <c r="B560" s="30" t="s">
        <v>1051</v>
      </c>
      <c r="C560" s="5" t="s">
        <v>160</v>
      </c>
      <c r="D560" s="5" t="s">
        <v>1050</v>
      </c>
      <c r="E560" s="5" t="s">
        <v>734</v>
      </c>
      <c r="F560" s="5" t="s">
        <v>105</v>
      </c>
      <c r="G560" s="5">
        <v>8.571940144E10</v>
      </c>
      <c r="H560" s="5" t="s">
        <v>1052</v>
      </c>
      <c r="I560" s="7" t="s">
        <v>190</v>
      </c>
      <c r="J560" s="54">
        <v>600000.0</v>
      </c>
    </row>
    <row r="561">
      <c r="A561" s="9"/>
      <c r="B561" s="31"/>
      <c r="C561" s="9"/>
      <c r="D561" s="9"/>
      <c r="E561" s="9"/>
      <c r="F561" s="9"/>
      <c r="G561" s="9"/>
      <c r="H561" s="9"/>
      <c r="I561" s="7" t="s">
        <v>468</v>
      </c>
      <c r="J561" s="54">
        <v>700000.0</v>
      </c>
    </row>
    <row r="562">
      <c r="A562" s="10"/>
      <c r="B562" s="32"/>
      <c r="C562" s="10"/>
      <c r="D562" s="10"/>
      <c r="E562" s="10"/>
      <c r="F562" s="10"/>
      <c r="G562" s="10"/>
      <c r="H562" s="10"/>
      <c r="I562" s="7" t="s">
        <v>245</v>
      </c>
      <c r="J562" s="54">
        <v>150000.0</v>
      </c>
    </row>
    <row r="563">
      <c r="A563" s="5">
        <v>188.0</v>
      </c>
      <c r="B563" s="30" t="s">
        <v>1053</v>
      </c>
      <c r="C563" s="5" t="s">
        <v>160</v>
      </c>
      <c r="D563" s="5" t="s">
        <v>1054</v>
      </c>
      <c r="E563" s="5" t="s">
        <v>734</v>
      </c>
      <c r="F563" s="5" t="s">
        <v>105</v>
      </c>
      <c r="G563" s="5">
        <v>8.571940144E10</v>
      </c>
      <c r="H563" s="5" t="s">
        <v>1055</v>
      </c>
      <c r="I563" s="7" t="s">
        <v>190</v>
      </c>
      <c r="J563" s="54">
        <v>600000.0</v>
      </c>
    </row>
    <row r="564">
      <c r="A564" s="9"/>
      <c r="B564" s="31"/>
      <c r="C564" s="9"/>
      <c r="D564" s="9"/>
      <c r="E564" s="9"/>
      <c r="F564" s="9"/>
      <c r="G564" s="9"/>
      <c r="H564" s="9"/>
      <c r="I564" s="7" t="s">
        <v>468</v>
      </c>
      <c r="J564" s="54">
        <v>700000.0</v>
      </c>
    </row>
    <row r="565">
      <c r="A565" s="10"/>
      <c r="B565" s="32"/>
      <c r="C565" s="10"/>
      <c r="D565" s="10"/>
      <c r="E565" s="10"/>
      <c r="F565" s="10"/>
      <c r="G565" s="10"/>
      <c r="H565" s="10"/>
      <c r="I565" s="7" t="s">
        <v>245</v>
      </c>
      <c r="J565" s="54">
        <v>150000.0</v>
      </c>
    </row>
    <row r="566">
      <c r="A566" s="5">
        <v>189.0</v>
      </c>
      <c r="B566" s="55" t="s">
        <v>1056</v>
      </c>
      <c r="C566" s="5" t="s">
        <v>160</v>
      </c>
      <c r="D566" s="11"/>
      <c r="E566" s="5" t="s">
        <v>734</v>
      </c>
      <c r="F566" s="5" t="s">
        <v>105</v>
      </c>
      <c r="G566" s="5">
        <v>8.571940144E10</v>
      </c>
      <c r="H566" s="5" t="s">
        <v>1055</v>
      </c>
      <c r="I566" s="7" t="s">
        <v>190</v>
      </c>
      <c r="J566" s="54">
        <v>3000000.0</v>
      </c>
    </row>
    <row r="567">
      <c r="A567" s="9"/>
      <c r="B567" s="31"/>
      <c r="C567" s="9"/>
      <c r="D567" s="9"/>
      <c r="E567" s="9"/>
      <c r="F567" s="9"/>
      <c r="G567" s="9"/>
      <c r="H567" s="9"/>
      <c r="I567" s="7" t="s">
        <v>468</v>
      </c>
      <c r="J567" s="54">
        <v>3500000.0</v>
      </c>
    </row>
    <row r="568">
      <c r="A568" s="10"/>
      <c r="B568" s="32"/>
      <c r="C568" s="10"/>
      <c r="D568" s="10"/>
      <c r="E568" s="10"/>
      <c r="F568" s="10"/>
      <c r="G568" s="10"/>
      <c r="H568" s="10"/>
      <c r="I568" s="7" t="s">
        <v>245</v>
      </c>
      <c r="J568" s="54">
        <v>750000.0</v>
      </c>
    </row>
    <row r="569">
      <c r="A569" s="5">
        <v>190.0</v>
      </c>
      <c r="B569" s="30" t="s">
        <v>1057</v>
      </c>
      <c r="C569" s="5" t="s">
        <v>160</v>
      </c>
      <c r="D569" s="5" t="s">
        <v>1058</v>
      </c>
      <c r="E569" s="5" t="s">
        <v>734</v>
      </c>
      <c r="F569" s="5" t="s">
        <v>105</v>
      </c>
      <c r="G569" s="5">
        <v>8.571940144E10</v>
      </c>
      <c r="H569" s="5" t="s">
        <v>1055</v>
      </c>
      <c r="I569" s="7" t="s">
        <v>190</v>
      </c>
      <c r="J569" s="54">
        <v>3000000.0</v>
      </c>
    </row>
    <row r="570">
      <c r="A570" s="9"/>
      <c r="B570" s="31"/>
      <c r="C570" s="9"/>
      <c r="D570" s="9"/>
      <c r="E570" s="9"/>
      <c r="F570" s="9"/>
      <c r="G570" s="9"/>
      <c r="H570" s="9"/>
      <c r="I570" s="7" t="s">
        <v>468</v>
      </c>
      <c r="J570" s="54">
        <v>3500000.0</v>
      </c>
    </row>
    <row r="571">
      <c r="A571" s="10"/>
      <c r="B571" s="32"/>
      <c r="C571" s="10"/>
      <c r="D571" s="10"/>
      <c r="E571" s="10"/>
      <c r="F571" s="10"/>
      <c r="G571" s="10"/>
      <c r="H571" s="10"/>
      <c r="I571" s="7" t="s">
        <v>245</v>
      </c>
      <c r="J571" s="54">
        <v>750000.0</v>
      </c>
    </row>
    <row r="572">
      <c r="A572" s="5">
        <v>191.0</v>
      </c>
      <c r="B572" s="30" t="s">
        <v>1059</v>
      </c>
      <c r="C572" s="5" t="s">
        <v>160</v>
      </c>
      <c r="D572" s="5" t="s">
        <v>976</v>
      </c>
      <c r="E572" s="5" t="s">
        <v>734</v>
      </c>
      <c r="F572" s="5" t="s">
        <v>105</v>
      </c>
      <c r="G572" s="5">
        <v>8.571940144E10</v>
      </c>
      <c r="H572" s="5" t="s">
        <v>1055</v>
      </c>
      <c r="I572" s="7" t="s">
        <v>190</v>
      </c>
      <c r="J572" s="54">
        <v>600000.0</v>
      </c>
    </row>
    <row r="573">
      <c r="A573" s="9"/>
      <c r="B573" s="31"/>
      <c r="C573" s="9"/>
      <c r="D573" s="9"/>
      <c r="E573" s="9"/>
      <c r="F573" s="9"/>
      <c r="G573" s="9"/>
      <c r="H573" s="9"/>
      <c r="I573" s="7" t="s">
        <v>468</v>
      </c>
      <c r="J573" s="54">
        <v>700000.0</v>
      </c>
    </row>
    <row r="574">
      <c r="A574" s="10"/>
      <c r="B574" s="32"/>
      <c r="C574" s="10"/>
      <c r="D574" s="10"/>
      <c r="E574" s="10"/>
      <c r="F574" s="10"/>
      <c r="G574" s="10"/>
      <c r="H574" s="10"/>
      <c r="I574" s="7" t="s">
        <v>245</v>
      </c>
      <c r="J574" s="54">
        <v>150000.0</v>
      </c>
    </row>
    <row r="575">
      <c r="A575" s="5">
        <v>192.0</v>
      </c>
      <c r="B575" s="30" t="s">
        <v>1060</v>
      </c>
      <c r="C575" s="5" t="s">
        <v>160</v>
      </c>
      <c r="D575" s="5" t="s">
        <v>1061</v>
      </c>
      <c r="E575" s="5" t="s">
        <v>734</v>
      </c>
      <c r="F575" s="5" t="s">
        <v>105</v>
      </c>
      <c r="G575" s="5">
        <v>8.571940144E10</v>
      </c>
      <c r="H575" s="5" t="s">
        <v>1055</v>
      </c>
      <c r="I575" s="7" t="s">
        <v>190</v>
      </c>
      <c r="J575" s="54">
        <v>3000000.0</v>
      </c>
    </row>
    <row r="576">
      <c r="A576" s="9"/>
      <c r="B576" s="31"/>
      <c r="C576" s="9"/>
      <c r="D576" s="9"/>
      <c r="E576" s="9"/>
      <c r="F576" s="9"/>
      <c r="G576" s="9"/>
      <c r="H576" s="9"/>
      <c r="I576" s="7" t="s">
        <v>468</v>
      </c>
      <c r="J576" s="54">
        <v>3500000.0</v>
      </c>
    </row>
    <row r="577">
      <c r="A577" s="10"/>
      <c r="B577" s="32"/>
      <c r="C577" s="10"/>
      <c r="D577" s="10"/>
      <c r="E577" s="10"/>
      <c r="F577" s="10"/>
      <c r="G577" s="10"/>
      <c r="H577" s="10"/>
      <c r="I577" s="7" t="s">
        <v>245</v>
      </c>
      <c r="J577" s="54">
        <v>750000.0</v>
      </c>
    </row>
    <row r="578">
      <c r="A578" s="5">
        <v>193.0</v>
      </c>
      <c r="B578" s="30" t="s">
        <v>1062</v>
      </c>
      <c r="C578" s="5" t="s">
        <v>160</v>
      </c>
      <c r="D578" s="5" t="s">
        <v>1063</v>
      </c>
      <c r="E578" s="5" t="s">
        <v>734</v>
      </c>
      <c r="F578" s="5" t="s">
        <v>105</v>
      </c>
      <c r="G578" s="5">
        <v>8.571940144E10</v>
      </c>
      <c r="H578" s="5" t="s">
        <v>1055</v>
      </c>
      <c r="I578" s="7" t="s">
        <v>190</v>
      </c>
      <c r="J578" s="54">
        <v>600000.0</v>
      </c>
    </row>
    <row r="579">
      <c r="A579" s="9"/>
      <c r="B579" s="31"/>
      <c r="C579" s="9"/>
      <c r="D579" s="9"/>
      <c r="E579" s="9"/>
      <c r="F579" s="9"/>
      <c r="G579" s="9"/>
      <c r="H579" s="9"/>
      <c r="I579" s="7" t="s">
        <v>468</v>
      </c>
      <c r="J579" s="54">
        <v>700000.0</v>
      </c>
    </row>
    <row r="580">
      <c r="A580" s="10"/>
      <c r="B580" s="32"/>
      <c r="C580" s="10"/>
      <c r="D580" s="10"/>
      <c r="E580" s="10"/>
      <c r="F580" s="10"/>
      <c r="G580" s="10"/>
      <c r="H580" s="10"/>
      <c r="I580" s="7" t="s">
        <v>245</v>
      </c>
      <c r="J580" s="54">
        <v>150000.0</v>
      </c>
    </row>
    <row r="581">
      <c r="A581" s="5">
        <v>194.0</v>
      </c>
      <c r="B581" s="30" t="s">
        <v>1064</v>
      </c>
      <c r="C581" s="5" t="s">
        <v>160</v>
      </c>
      <c r="D581" s="5" t="s">
        <v>1065</v>
      </c>
      <c r="E581" s="5" t="s">
        <v>734</v>
      </c>
      <c r="F581" s="5" t="s">
        <v>105</v>
      </c>
      <c r="G581" s="5">
        <v>8.571940144E10</v>
      </c>
      <c r="H581" s="5" t="s">
        <v>1055</v>
      </c>
      <c r="I581" s="7" t="s">
        <v>190</v>
      </c>
      <c r="J581" s="54">
        <v>600000.0</v>
      </c>
    </row>
    <row r="582">
      <c r="A582" s="9"/>
      <c r="B582" s="31"/>
      <c r="C582" s="9"/>
      <c r="D582" s="9"/>
      <c r="E582" s="9"/>
      <c r="F582" s="9"/>
      <c r="G582" s="9"/>
      <c r="H582" s="9"/>
      <c r="I582" s="7" t="s">
        <v>468</v>
      </c>
      <c r="J582" s="54">
        <v>700000.0</v>
      </c>
    </row>
    <row r="583">
      <c r="A583" s="10"/>
      <c r="B583" s="32"/>
      <c r="C583" s="10"/>
      <c r="D583" s="10"/>
      <c r="E583" s="10"/>
      <c r="F583" s="10"/>
      <c r="G583" s="10"/>
      <c r="H583" s="10"/>
      <c r="I583" s="7" t="s">
        <v>245</v>
      </c>
      <c r="J583" s="54">
        <v>150000.0</v>
      </c>
    </row>
    <row r="584">
      <c r="A584" s="5">
        <v>195.0</v>
      </c>
      <c r="B584" s="30" t="s">
        <v>1066</v>
      </c>
      <c r="C584" s="5" t="s">
        <v>160</v>
      </c>
      <c r="D584" s="5" t="s">
        <v>1067</v>
      </c>
      <c r="E584" s="5" t="s">
        <v>734</v>
      </c>
      <c r="F584" s="5" t="s">
        <v>105</v>
      </c>
      <c r="G584" s="5">
        <v>8.571940144E10</v>
      </c>
      <c r="H584" s="5" t="s">
        <v>1068</v>
      </c>
      <c r="I584" s="7" t="s">
        <v>190</v>
      </c>
      <c r="J584" s="54">
        <v>3000000.0</v>
      </c>
    </row>
    <row r="585">
      <c r="A585" s="9"/>
      <c r="B585" s="31"/>
      <c r="C585" s="9"/>
      <c r="D585" s="9"/>
      <c r="E585" s="9"/>
      <c r="F585" s="9"/>
      <c r="G585" s="9"/>
      <c r="H585" s="9"/>
      <c r="I585" s="7" t="s">
        <v>468</v>
      </c>
      <c r="J585" s="54">
        <v>3500000.0</v>
      </c>
    </row>
    <row r="586">
      <c r="A586" s="10"/>
      <c r="B586" s="32"/>
      <c r="C586" s="10"/>
      <c r="D586" s="10"/>
      <c r="E586" s="10"/>
      <c r="F586" s="10"/>
      <c r="G586" s="10"/>
      <c r="H586" s="10"/>
      <c r="I586" s="7" t="s">
        <v>245</v>
      </c>
      <c r="J586" s="54">
        <v>750000.0</v>
      </c>
    </row>
    <row r="587">
      <c r="A587" s="5">
        <v>196.0</v>
      </c>
      <c r="B587" s="30" t="s">
        <v>1069</v>
      </c>
      <c r="C587" s="5" t="s">
        <v>160</v>
      </c>
      <c r="D587" s="5" t="s">
        <v>1070</v>
      </c>
      <c r="E587" s="5" t="s">
        <v>734</v>
      </c>
      <c r="F587" s="5" t="s">
        <v>105</v>
      </c>
      <c r="G587" s="5">
        <v>8.571940144E10</v>
      </c>
      <c r="H587" s="5" t="s">
        <v>1068</v>
      </c>
      <c r="I587" s="7" t="s">
        <v>190</v>
      </c>
      <c r="J587" s="54">
        <v>4000000.0</v>
      </c>
    </row>
    <row r="588">
      <c r="A588" s="9"/>
      <c r="B588" s="31"/>
      <c r="C588" s="9"/>
      <c r="D588" s="9"/>
      <c r="E588" s="9"/>
      <c r="F588" s="9"/>
      <c r="G588" s="9"/>
      <c r="H588" s="9"/>
      <c r="I588" s="7" t="s">
        <v>468</v>
      </c>
      <c r="J588" s="54">
        <v>4500000.0</v>
      </c>
    </row>
    <row r="589">
      <c r="A589" s="10"/>
      <c r="B589" s="32"/>
      <c r="C589" s="10"/>
      <c r="D589" s="10"/>
      <c r="E589" s="10"/>
      <c r="F589" s="10"/>
      <c r="G589" s="10"/>
      <c r="H589" s="10"/>
      <c r="I589" s="7" t="s">
        <v>245</v>
      </c>
      <c r="J589" s="54">
        <v>750000.0</v>
      </c>
    </row>
    <row r="590">
      <c r="A590" s="5">
        <v>197.0</v>
      </c>
      <c r="B590" s="30" t="s">
        <v>1071</v>
      </c>
      <c r="C590" s="5" t="s">
        <v>160</v>
      </c>
      <c r="D590" s="5" t="s">
        <v>1072</v>
      </c>
      <c r="E590" s="5" t="s">
        <v>734</v>
      </c>
      <c r="F590" s="5" t="s">
        <v>105</v>
      </c>
      <c r="G590" s="5">
        <v>8.571940144E10</v>
      </c>
      <c r="H590" s="5" t="s">
        <v>1068</v>
      </c>
      <c r="I590" s="7" t="s">
        <v>190</v>
      </c>
      <c r="J590" s="54">
        <v>3000000.0</v>
      </c>
    </row>
    <row r="591">
      <c r="A591" s="9"/>
      <c r="B591" s="31"/>
      <c r="C591" s="9"/>
      <c r="D591" s="9"/>
      <c r="E591" s="9"/>
      <c r="F591" s="9"/>
      <c r="G591" s="9"/>
      <c r="H591" s="9"/>
      <c r="I591" s="7" t="s">
        <v>468</v>
      </c>
      <c r="J591" s="54">
        <v>3500000.0</v>
      </c>
    </row>
    <row r="592">
      <c r="A592" s="10"/>
      <c r="B592" s="32"/>
      <c r="C592" s="10"/>
      <c r="D592" s="10"/>
      <c r="E592" s="10"/>
      <c r="F592" s="10"/>
      <c r="G592" s="10"/>
      <c r="H592" s="10"/>
      <c r="I592" s="7" t="s">
        <v>245</v>
      </c>
      <c r="J592" s="54">
        <v>750000.0</v>
      </c>
    </row>
    <row r="593">
      <c r="A593" s="5">
        <v>198.0</v>
      </c>
      <c r="B593" s="30" t="s">
        <v>1073</v>
      </c>
      <c r="C593" s="5" t="s">
        <v>160</v>
      </c>
      <c r="D593" s="5" t="s">
        <v>1074</v>
      </c>
      <c r="E593" s="5" t="s">
        <v>734</v>
      </c>
      <c r="F593" s="5" t="s">
        <v>105</v>
      </c>
      <c r="G593" s="5">
        <v>8.571940144E10</v>
      </c>
      <c r="H593" s="5" t="s">
        <v>1068</v>
      </c>
      <c r="I593" s="7" t="s">
        <v>190</v>
      </c>
      <c r="J593" s="54">
        <v>2000000.0</v>
      </c>
    </row>
    <row r="594">
      <c r="A594" s="9"/>
      <c r="B594" s="31"/>
      <c r="C594" s="9"/>
      <c r="D594" s="9"/>
      <c r="E594" s="9"/>
      <c r="F594" s="9"/>
      <c r="G594" s="9"/>
      <c r="H594" s="9"/>
      <c r="I594" s="7" t="s">
        <v>468</v>
      </c>
      <c r="J594" s="54">
        <v>3000000.0</v>
      </c>
    </row>
    <row r="595">
      <c r="A595" s="10"/>
      <c r="B595" s="32"/>
      <c r="C595" s="10"/>
      <c r="D595" s="10"/>
      <c r="E595" s="10"/>
      <c r="F595" s="10"/>
      <c r="G595" s="10"/>
      <c r="H595" s="10"/>
      <c r="I595" s="7" t="s">
        <v>245</v>
      </c>
      <c r="J595" s="54">
        <v>750000.0</v>
      </c>
    </row>
    <row r="596">
      <c r="A596" s="5">
        <v>199.0</v>
      </c>
      <c r="B596" s="30" t="s">
        <v>1075</v>
      </c>
      <c r="C596" s="5" t="s">
        <v>160</v>
      </c>
      <c r="D596" s="5" t="s">
        <v>1076</v>
      </c>
      <c r="E596" s="5" t="s">
        <v>734</v>
      </c>
      <c r="F596" s="5" t="s">
        <v>105</v>
      </c>
      <c r="G596" s="5">
        <v>8.571940144E10</v>
      </c>
      <c r="H596" s="5" t="s">
        <v>1068</v>
      </c>
      <c r="I596" s="7" t="s">
        <v>190</v>
      </c>
      <c r="J596" s="54">
        <v>3000000.0</v>
      </c>
    </row>
    <row r="597">
      <c r="A597" s="9"/>
      <c r="B597" s="31"/>
      <c r="C597" s="9"/>
      <c r="D597" s="9"/>
      <c r="E597" s="9"/>
      <c r="F597" s="9"/>
      <c r="G597" s="9"/>
      <c r="H597" s="9"/>
      <c r="I597" s="7" t="s">
        <v>468</v>
      </c>
      <c r="J597" s="54">
        <v>3500000.0</v>
      </c>
    </row>
    <row r="598">
      <c r="A598" s="10"/>
      <c r="B598" s="32"/>
      <c r="C598" s="10"/>
      <c r="D598" s="10"/>
      <c r="E598" s="10"/>
      <c r="F598" s="10"/>
      <c r="G598" s="10"/>
      <c r="H598" s="10"/>
      <c r="I598" s="7" t="s">
        <v>245</v>
      </c>
      <c r="J598" s="54">
        <v>750000.0</v>
      </c>
    </row>
    <row r="599">
      <c r="A599" s="5">
        <v>200.0</v>
      </c>
      <c r="B599" s="30" t="s">
        <v>1077</v>
      </c>
      <c r="C599" s="5" t="s">
        <v>160</v>
      </c>
      <c r="D599" s="5" t="s">
        <v>1078</v>
      </c>
      <c r="E599" s="5" t="s">
        <v>734</v>
      </c>
      <c r="F599" s="5" t="s">
        <v>105</v>
      </c>
      <c r="G599" s="5">
        <v>8.571940144E10</v>
      </c>
      <c r="H599" s="5" t="s">
        <v>1068</v>
      </c>
      <c r="I599" s="7" t="s">
        <v>190</v>
      </c>
      <c r="J599" s="54">
        <v>600000.0</v>
      </c>
    </row>
    <row r="600">
      <c r="A600" s="9"/>
      <c r="B600" s="31"/>
      <c r="C600" s="9"/>
      <c r="D600" s="9"/>
      <c r="E600" s="9"/>
      <c r="F600" s="9"/>
      <c r="G600" s="9"/>
      <c r="H600" s="9"/>
      <c r="I600" s="7" t="s">
        <v>468</v>
      </c>
      <c r="J600" s="54">
        <v>700000.0</v>
      </c>
    </row>
    <row r="601">
      <c r="A601" s="10"/>
      <c r="B601" s="32"/>
      <c r="C601" s="10"/>
      <c r="D601" s="10"/>
      <c r="E601" s="10"/>
      <c r="F601" s="10"/>
      <c r="G601" s="10"/>
      <c r="H601" s="10"/>
      <c r="I601" s="7" t="s">
        <v>245</v>
      </c>
      <c r="J601" s="54">
        <v>150000.0</v>
      </c>
    </row>
    <row r="602">
      <c r="A602" s="5">
        <v>201.0</v>
      </c>
      <c r="B602" s="30" t="s">
        <v>1079</v>
      </c>
      <c r="C602" s="5" t="s">
        <v>160</v>
      </c>
      <c r="D602" s="5" t="s">
        <v>1080</v>
      </c>
      <c r="E602" s="5" t="s">
        <v>734</v>
      </c>
      <c r="F602" s="5" t="s">
        <v>105</v>
      </c>
      <c r="G602" s="5">
        <v>8.571940144E10</v>
      </c>
      <c r="H602" s="5" t="s">
        <v>621</v>
      </c>
      <c r="I602" s="7" t="s">
        <v>190</v>
      </c>
      <c r="J602" s="54">
        <v>3000000.0</v>
      </c>
    </row>
    <row r="603">
      <c r="A603" s="9"/>
      <c r="B603" s="31"/>
      <c r="C603" s="9"/>
      <c r="D603" s="9"/>
      <c r="E603" s="9"/>
      <c r="F603" s="9"/>
      <c r="G603" s="9"/>
      <c r="H603" s="9"/>
      <c r="I603" s="7" t="s">
        <v>468</v>
      </c>
      <c r="J603" s="54">
        <v>3500000.0</v>
      </c>
    </row>
    <row r="604">
      <c r="A604" s="10"/>
      <c r="B604" s="32"/>
      <c r="C604" s="10"/>
      <c r="D604" s="10"/>
      <c r="E604" s="10"/>
      <c r="F604" s="10"/>
      <c r="G604" s="10"/>
      <c r="H604" s="10"/>
      <c r="I604" s="7" t="s">
        <v>245</v>
      </c>
      <c r="J604" s="54">
        <v>750000.0</v>
      </c>
    </row>
    <row r="605">
      <c r="A605" s="5">
        <v>202.0</v>
      </c>
      <c r="B605" s="53" t="s">
        <v>1081</v>
      </c>
      <c r="C605" s="5" t="s">
        <v>160</v>
      </c>
      <c r="D605" s="5" t="s">
        <v>1082</v>
      </c>
      <c r="E605" s="5" t="s">
        <v>734</v>
      </c>
      <c r="F605" s="5" t="s">
        <v>105</v>
      </c>
      <c r="G605" s="5">
        <v>8.571940144E10</v>
      </c>
      <c r="H605" s="5" t="s">
        <v>621</v>
      </c>
      <c r="I605" s="7" t="s">
        <v>190</v>
      </c>
      <c r="J605" s="54">
        <v>3000000.0</v>
      </c>
    </row>
    <row r="606">
      <c r="A606" s="9"/>
      <c r="B606" s="31"/>
      <c r="C606" s="9"/>
      <c r="D606" s="9"/>
      <c r="E606" s="9"/>
      <c r="F606" s="9"/>
      <c r="G606" s="9"/>
      <c r="H606" s="9"/>
      <c r="I606" s="7" t="s">
        <v>468</v>
      </c>
      <c r="J606" s="54">
        <v>3500000.0</v>
      </c>
    </row>
    <row r="607">
      <c r="A607" s="10"/>
      <c r="B607" s="32"/>
      <c r="C607" s="10"/>
      <c r="D607" s="10"/>
      <c r="E607" s="10"/>
      <c r="F607" s="10"/>
      <c r="G607" s="10"/>
      <c r="H607" s="10"/>
      <c r="I607" s="7" t="s">
        <v>245</v>
      </c>
      <c r="J607" s="54">
        <v>750000.0</v>
      </c>
    </row>
    <row r="608">
      <c r="A608" s="5">
        <v>203.0</v>
      </c>
      <c r="B608" s="30" t="s">
        <v>1083</v>
      </c>
      <c r="C608" s="5" t="s">
        <v>160</v>
      </c>
      <c r="D608" s="5" t="s">
        <v>1084</v>
      </c>
      <c r="E608" s="5" t="s">
        <v>734</v>
      </c>
      <c r="F608" s="5" t="s">
        <v>105</v>
      </c>
      <c r="G608" s="5">
        <v>8.571940144E10</v>
      </c>
      <c r="H608" s="5" t="s">
        <v>621</v>
      </c>
      <c r="I608" s="7" t="s">
        <v>190</v>
      </c>
      <c r="J608" s="54">
        <v>600000.0</v>
      </c>
    </row>
    <row r="609">
      <c r="A609" s="9"/>
      <c r="B609" s="31"/>
      <c r="C609" s="9"/>
      <c r="D609" s="9"/>
      <c r="E609" s="9"/>
      <c r="F609" s="9"/>
      <c r="G609" s="9"/>
      <c r="H609" s="9"/>
      <c r="I609" s="7" t="s">
        <v>468</v>
      </c>
      <c r="J609" s="54">
        <v>700000.0</v>
      </c>
    </row>
    <row r="610">
      <c r="A610" s="10"/>
      <c r="B610" s="32"/>
      <c r="C610" s="10"/>
      <c r="D610" s="10"/>
      <c r="E610" s="10"/>
      <c r="F610" s="10"/>
      <c r="G610" s="10"/>
      <c r="H610" s="10"/>
      <c r="I610" s="7" t="s">
        <v>245</v>
      </c>
      <c r="J610" s="54">
        <v>150000.0</v>
      </c>
    </row>
    <row r="611">
      <c r="A611" s="5">
        <v>204.0</v>
      </c>
      <c r="B611" s="30" t="s">
        <v>1085</v>
      </c>
      <c r="C611" s="5" t="s">
        <v>160</v>
      </c>
      <c r="D611" s="5" t="s">
        <v>1086</v>
      </c>
      <c r="E611" s="5" t="s">
        <v>734</v>
      </c>
      <c r="F611" s="5" t="s">
        <v>105</v>
      </c>
      <c r="G611" s="5">
        <v>8.571940144E10</v>
      </c>
      <c r="H611" s="5" t="s">
        <v>621</v>
      </c>
      <c r="I611" s="7" t="s">
        <v>190</v>
      </c>
      <c r="J611" s="54">
        <v>600000.0</v>
      </c>
    </row>
    <row r="612">
      <c r="A612" s="9"/>
      <c r="B612" s="31"/>
      <c r="C612" s="9"/>
      <c r="D612" s="9"/>
      <c r="E612" s="9"/>
      <c r="F612" s="9"/>
      <c r="G612" s="9"/>
      <c r="H612" s="9"/>
      <c r="I612" s="7" t="s">
        <v>468</v>
      </c>
      <c r="J612" s="54">
        <v>700000.0</v>
      </c>
    </row>
    <row r="613">
      <c r="A613" s="10"/>
      <c r="B613" s="32"/>
      <c r="C613" s="10"/>
      <c r="D613" s="10"/>
      <c r="E613" s="10"/>
      <c r="F613" s="10"/>
      <c r="G613" s="10"/>
      <c r="H613" s="10"/>
      <c r="I613" s="7" t="s">
        <v>245</v>
      </c>
      <c r="J613" s="54">
        <v>150000.0</v>
      </c>
    </row>
    <row r="614">
      <c r="A614" s="5">
        <v>205.0</v>
      </c>
      <c r="B614" s="30" t="s">
        <v>1087</v>
      </c>
      <c r="C614" s="5" t="s">
        <v>160</v>
      </c>
      <c r="D614" s="5" t="s">
        <v>1088</v>
      </c>
      <c r="E614" s="5" t="s">
        <v>734</v>
      </c>
      <c r="F614" s="5" t="s">
        <v>105</v>
      </c>
      <c r="G614" s="5">
        <v>8.571940144E10</v>
      </c>
      <c r="H614" s="5" t="s">
        <v>177</v>
      </c>
      <c r="I614" s="7" t="s">
        <v>190</v>
      </c>
      <c r="J614" s="54">
        <v>800000.0</v>
      </c>
    </row>
    <row r="615">
      <c r="A615" s="9"/>
      <c r="B615" s="31"/>
      <c r="C615" s="9"/>
      <c r="D615" s="9"/>
      <c r="E615" s="9"/>
      <c r="F615" s="9"/>
      <c r="G615" s="9"/>
      <c r="H615" s="9"/>
      <c r="I615" s="7" t="s">
        <v>468</v>
      </c>
      <c r="J615" s="54">
        <v>1000000.0</v>
      </c>
    </row>
    <row r="616">
      <c r="A616" s="10"/>
      <c r="B616" s="32"/>
      <c r="C616" s="10"/>
      <c r="D616" s="10"/>
      <c r="E616" s="10"/>
      <c r="F616" s="10"/>
      <c r="G616" s="10"/>
      <c r="H616" s="10"/>
      <c r="I616" s="7" t="s">
        <v>245</v>
      </c>
      <c r="J616" s="54">
        <v>300000.0</v>
      </c>
    </row>
    <row r="617">
      <c r="A617" s="5">
        <v>206.0</v>
      </c>
      <c r="B617" s="56" t="s">
        <v>1089</v>
      </c>
      <c r="C617" s="5" t="s">
        <v>160</v>
      </c>
      <c r="D617" s="11"/>
      <c r="E617" s="5" t="s">
        <v>734</v>
      </c>
      <c r="F617" s="5" t="s">
        <v>105</v>
      </c>
      <c r="G617" s="5">
        <v>8.571940144E10</v>
      </c>
      <c r="H617" s="5" t="s">
        <v>177</v>
      </c>
      <c r="I617" s="7" t="s">
        <v>190</v>
      </c>
      <c r="J617" s="54">
        <v>800000.0</v>
      </c>
    </row>
    <row r="618">
      <c r="A618" s="9"/>
      <c r="B618" s="9"/>
      <c r="C618" s="9"/>
      <c r="D618" s="9"/>
      <c r="E618" s="9"/>
      <c r="F618" s="9"/>
      <c r="G618" s="9"/>
      <c r="H618" s="9"/>
      <c r="I618" s="7" t="s">
        <v>468</v>
      </c>
      <c r="J618" s="54">
        <v>1000000.0</v>
      </c>
    </row>
    <row r="619">
      <c r="A619" s="10"/>
      <c r="B619" s="9"/>
      <c r="C619" s="10"/>
      <c r="D619" s="10"/>
      <c r="E619" s="10"/>
      <c r="F619" s="10"/>
      <c r="G619" s="10"/>
      <c r="H619" s="10"/>
      <c r="I619" s="7" t="s">
        <v>245</v>
      </c>
      <c r="J619" s="54">
        <v>300000.0</v>
      </c>
    </row>
    <row r="620">
      <c r="A620" s="5">
        <v>207.0</v>
      </c>
      <c r="B620" s="5" t="s">
        <v>1090</v>
      </c>
      <c r="C620" s="5" t="s">
        <v>160</v>
      </c>
      <c r="D620" s="5" t="s">
        <v>1091</v>
      </c>
      <c r="E620" s="5" t="s">
        <v>734</v>
      </c>
      <c r="F620" s="5" t="s">
        <v>105</v>
      </c>
      <c r="G620" s="5">
        <v>8.571940144E10</v>
      </c>
      <c r="H620" s="5" t="s">
        <v>802</v>
      </c>
      <c r="I620" s="7" t="s">
        <v>190</v>
      </c>
      <c r="J620" s="54">
        <v>5500000.0</v>
      </c>
    </row>
    <row r="621">
      <c r="A621" s="9"/>
      <c r="B621" s="9"/>
      <c r="C621" s="9"/>
      <c r="D621" s="9"/>
      <c r="E621" s="9"/>
      <c r="F621" s="9"/>
      <c r="G621" s="9"/>
      <c r="H621" s="9"/>
      <c r="I621" s="7" t="s">
        <v>468</v>
      </c>
      <c r="J621" s="54">
        <v>6000000.0</v>
      </c>
    </row>
    <row r="622">
      <c r="A622" s="10"/>
      <c r="B622" s="9"/>
      <c r="C622" s="10"/>
      <c r="D622" s="10"/>
      <c r="E622" s="10"/>
      <c r="F622" s="10"/>
      <c r="G622" s="10"/>
      <c r="H622" s="10"/>
      <c r="I622" s="7" t="s">
        <v>245</v>
      </c>
      <c r="J622" s="54">
        <v>2250000.0</v>
      </c>
    </row>
    <row r="623">
      <c r="A623" s="5">
        <v>208.0</v>
      </c>
      <c r="B623" s="30" t="s">
        <v>1092</v>
      </c>
      <c r="C623" s="5" t="s">
        <v>160</v>
      </c>
      <c r="D623" s="5" t="s">
        <v>318</v>
      </c>
      <c r="E623" s="5" t="s">
        <v>734</v>
      </c>
      <c r="F623" s="5" t="s">
        <v>105</v>
      </c>
      <c r="G623" s="5">
        <v>8.571940144E10</v>
      </c>
      <c r="H623" s="5" t="s">
        <v>802</v>
      </c>
      <c r="I623" s="7" t="s">
        <v>190</v>
      </c>
      <c r="J623" s="54">
        <v>5000000.0</v>
      </c>
    </row>
    <row r="624">
      <c r="A624" s="9"/>
      <c r="B624" s="31"/>
      <c r="C624" s="9"/>
      <c r="D624" s="9"/>
      <c r="E624" s="9"/>
      <c r="F624" s="9"/>
      <c r="G624" s="9"/>
      <c r="H624" s="9"/>
      <c r="I624" s="7" t="s">
        <v>468</v>
      </c>
      <c r="J624" s="54">
        <v>6000000.0</v>
      </c>
    </row>
    <row r="625">
      <c r="A625" s="10"/>
      <c r="B625" s="32"/>
      <c r="C625" s="10"/>
      <c r="D625" s="10"/>
      <c r="E625" s="10"/>
      <c r="F625" s="10"/>
      <c r="G625" s="10"/>
      <c r="H625" s="10"/>
      <c r="I625" s="7" t="s">
        <v>245</v>
      </c>
      <c r="J625" s="54">
        <v>750000.0</v>
      </c>
    </row>
    <row r="626">
      <c r="A626" s="5">
        <v>209.0</v>
      </c>
      <c r="B626" s="30" t="s">
        <v>1093</v>
      </c>
      <c r="C626" s="5" t="s">
        <v>160</v>
      </c>
      <c r="D626" s="5" t="s">
        <v>1067</v>
      </c>
      <c r="E626" s="5" t="s">
        <v>734</v>
      </c>
      <c r="F626" s="5" t="s">
        <v>105</v>
      </c>
      <c r="G626" s="5">
        <v>8.571940144E10</v>
      </c>
      <c r="H626" s="5" t="s">
        <v>802</v>
      </c>
      <c r="I626" s="7" t="s">
        <v>190</v>
      </c>
      <c r="J626" s="54">
        <v>3000000.0</v>
      </c>
    </row>
    <row r="627">
      <c r="A627" s="9"/>
      <c r="B627" s="31"/>
      <c r="C627" s="9"/>
      <c r="D627" s="9"/>
      <c r="E627" s="9"/>
      <c r="F627" s="9"/>
      <c r="G627" s="9"/>
      <c r="H627" s="9"/>
      <c r="I627" s="7" t="s">
        <v>468</v>
      </c>
      <c r="J627" s="54">
        <v>3500000.0</v>
      </c>
    </row>
    <row r="628">
      <c r="A628" s="10"/>
      <c r="B628" s="32"/>
      <c r="C628" s="10"/>
      <c r="D628" s="10"/>
      <c r="E628" s="10"/>
      <c r="F628" s="10"/>
      <c r="G628" s="10"/>
      <c r="H628" s="10"/>
      <c r="I628" s="7" t="s">
        <v>245</v>
      </c>
      <c r="J628" s="54">
        <v>750000.0</v>
      </c>
    </row>
    <row r="629">
      <c r="A629" s="5">
        <v>210.0</v>
      </c>
      <c r="B629" s="30" t="s">
        <v>1094</v>
      </c>
      <c r="C629" s="5" t="s">
        <v>160</v>
      </c>
      <c r="D629" s="5" t="s">
        <v>1095</v>
      </c>
      <c r="E629" s="5" t="s">
        <v>734</v>
      </c>
      <c r="F629" s="5" t="s">
        <v>105</v>
      </c>
      <c r="G629" s="5">
        <v>8.571940144E10</v>
      </c>
      <c r="H629" s="5" t="s">
        <v>802</v>
      </c>
      <c r="I629" s="7" t="s">
        <v>190</v>
      </c>
      <c r="J629" s="54">
        <v>4000000.0</v>
      </c>
    </row>
    <row r="630">
      <c r="A630" s="9"/>
      <c r="B630" s="31"/>
      <c r="C630" s="9"/>
      <c r="D630" s="9"/>
      <c r="E630" s="9"/>
      <c r="F630" s="9"/>
      <c r="G630" s="9"/>
      <c r="H630" s="9"/>
      <c r="I630" s="7" t="s">
        <v>468</v>
      </c>
      <c r="J630" s="54">
        <v>4500000.0</v>
      </c>
    </row>
    <row r="631">
      <c r="A631" s="10"/>
      <c r="B631" s="32"/>
      <c r="C631" s="10"/>
      <c r="D631" s="10"/>
      <c r="E631" s="10"/>
      <c r="F631" s="10"/>
      <c r="G631" s="10"/>
      <c r="H631" s="10"/>
      <c r="I631" s="7" t="s">
        <v>245</v>
      </c>
      <c r="J631" s="54">
        <v>750000.0</v>
      </c>
    </row>
    <row r="632">
      <c r="A632" s="5">
        <v>211.0</v>
      </c>
      <c r="B632" s="30" t="s">
        <v>1090</v>
      </c>
      <c r="C632" s="5" t="s">
        <v>160</v>
      </c>
      <c r="D632" s="5" t="s">
        <v>1091</v>
      </c>
      <c r="E632" s="5" t="s">
        <v>734</v>
      </c>
      <c r="F632" s="5" t="s">
        <v>105</v>
      </c>
      <c r="G632" s="5">
        <v>8.571940144E10</v>
      </c>
      <c r="H632" s="5" t="s">
        <v>802</v>
      </c>
      <c r="I632" s="7" t="s">
        <v>190</v>
      </c>
      <c r="J632" s="54">
        <v>5500000.0</v>
      </c>
    </row>
    <row r="633">
      <c r="A633" s="9"/>
      <c r="B633" s="31"/>
      <c r="C633" s="9"/>
      <c r="D633" s="9"/>
      <c r="E633" s="9"/>
      <c r="F633" s="9"/>
      <c r="G633" s="9"/>
      <c r="H633" s="9"/>
      <c r="I633" s="7" t="s">
        <v>468</v>
      </c>
      <c r="J633" s="54">
        <v>6000000.0</v>
      </c>
    </row>
    <row r="634">
      <c r="A634" s="10"/>
      <c r="B634" s="32"/>
      <c r="C634" s="10"/>
      <c r="D634" s="10"/>
      <c r="E634" s="10"/>
      <c r="F634" s="10"/>
      <c r="G634" s="10"/>
      <c r="H634" s="10"/>
      <c r="I634" s="7" t="s">
        <v>245</v>
      </c>
      <c r="J634" s="54">
        <v>2250000.0</v>
      </c>
    </row>
    <row r="635">
      <c r="A635" s="5">
        <v>212.0</v>
      </c>
      <c r="B635" s="55" t="s">
        <v>1096</v>
      </c>
      <c r="C635" s="5" t="s">
        <v>160</v>
      </c>
      <c r="D635" s="11"/>
      <c r="E635" s="5" t="s">
        <v>734</v>
      </c>
      <c r="F635" s="5" t="s">
        <v>105</v>
      </c>
      <c r="G635" s="5">
        <v>8.571940144E10</v>
      </c>
      <c r="H635" s="5" t="s">
        <v>802</v>
      </c>
      <c r="I635" s="7" t="s">
        <v>190</v>
      </c>
      <c r="J635" s="54">
        <v>2000000.0</v>
      </c>
    </row>
    <row r="636">
      <c r="A636" s="9"/>
      <c r="B636" s="31"/>
      <c r="C636" s="9"/>
      <c r="D636" s="9"/>
      <c r="E636" s="9"/>
      <c r="F636" s="9"/>
      <c r="G636" s="9"/>
      <c r="H636" s="9"/>
      <c r="I636" s="7" t="s">
        <v>468</v>
      </c>
      <c r="J636" s="54">
        <v>3000000.0</v>
      </c>
    </row>
    <row r="637">
      <c r="A637" s="10"/>
      <c r="B637" s="32"/>
      <c r="C637" s="10"/>
      <c r="D637" s="10"/>
      <c r="E637" s="10"/>
      <c r="F637" s="10"/>
      <c r="G637" s="10"/>
      <c r="H637" s="10"/>
      <c r="I637" s="7" t="s">
        <v>245</v>
      </c>
      <c r="J637" s="54">
        <v>750000.0</v>
      </c>
    </row>
    <row r="638">
      <c r="A638" s="5">
        <v>213.0</v>
      </c>
      <c r="B638" s="53" t="s">
        <v>1097</v>
      </c>
      <c r="C638" s="5" t="s">
        <v>160</v>
      </c>
      <c r="D638" s="5" t="s">
        <v>1098</v>
      </c>
      <c r="E638" s="5" t="s">
        <v>734</v>
      </c>
      <c r="F638" s="5" t="s">
        <v>105</v>
      </c>
      <c r="G638" s="5">
        <v>8.571940144E10</v>
      </c>
      <c r="H638" s="5" t="s">
        <v>761</v>
      </c>
      <c r="I638" s="7" t="s">
        <v>190</v>
      </c>
      <c r="J638" s="54">
        <v>3000000.0</v>
      </c>
    </row>
    <row r="639">
      <c r="A639" s="9"/>
      <c r="B639" s="31"/>
      <c r="C639" s="9"/>
      <c r="D639" s="9"/>
      <c r="E639" s="9"/>
      <c r="F639" s="9"/>
      <c r="G639" s="9"/>
      <c r="H639" s="9"/>
      <c r="I639" s="7" t="s">
        <v>468</v>
      </c>
      <c r="J639" s="54">
        <v>3000000.0</v>
      </c>
    </row>
    <row r="640">
      <c r="A640" s="10"/>
      <c r="B640" s="32"/>
      <c r="C640" s="10"/>
      <c r="D640" s="10"/>
      <c r="E640" s="10"/>
      <c r="F640" s="10"/>
      <c r="G640" s="10"/>
      <c r="H640" s="10"/>
      <c r="I640" s="7" t="s">
        <v>245</v>
      </c>
      <c r="J640" s="54">
        <v>750000.0</v>
      </c>
    </row>
    <row r="641">
      <c r="A641" s="5">
        <v>214.0</v>
      </c>
      <c r="B641" s="30" t="s">
        <v>1099</v>
      </c>
      <c r="C641" s="5" t="s">
        <v>160</v>
      </c>
      <c r="D641" s="5" t="s">
        <v>1100</v>
      </c>
      <c r="E641" s="5" t="s">
        <v>734</v>
      </c>
      <c r="F641" s="5" t="s">
        <v>105</v>
      </c>
      <c r="G641" s="5">
        <v>8.571940144E10</v>
      </c>
      <c r="H641" s="5" t="s">
        <v>761</v>
      </c>
      <c r="I641" s="7" t="s">
        <v>190</v>
      </c>
      <c r="J641" s="54">
        <v>3750000.0</v>
      </c>
    </row>
    <row r="642">
      <c r="A642" s="9"/>
      <c r="B642" s="31"/>
      <c r="C642" s="9"/>
      <c r="D642" s="9"/>
      <c r="E642" s="9"/>
      <c r="F642" s="9"/>
      <c r="G642" s="9"/>
      <c r="H642" s="9"/>
      <c r="I642" s="7" t="s">
        <v>468</v>
      </c>
      <c r="J642" s="54">
        <v>3750000.0</v>
      </c>
    </row>
    <row r="643">
      <c r="A643" s="10"/>
      <c r="B643" s="32"/>
      <c r="C643" s="10"/>
      <c r="D643" s="10"/>
      <c r="E643" s="10"/>
      <c r="F643" s="10"/>
      <c r="G643" s="10"/>
      <c r="H643" s="10"/>
      <c r="I643" s="7" t="s">
        <v>245</v>
      </c>
      <c r="J643" s="54">
        <v>1800000.0</v>
      </c>
    </row>
    <row r="644">
      <c r="A644" s="5">
        <v>215.0</v>
      </c>
      <c r="B644" s="30" t="s">
        <v>1101</v>
      </c>
      <c r="C644" s="5" t="s">
        <v>160</v>
      </c>
      <c r="D644" s="5" t="s">
        <v>1102</v>
      </c>
      <c r="E644" s="5" t="s">
        <v>734</v>
      </c>
      <c r="F644" s="5" t="s">
        <v>105</v>
      </c>
      <c r="G644" s="5">
        <v>8.571940144E10</v>
      </c>
      <c r="H644" s="5" t="s">
        <v>761</v>
      </c>
      <c r="I644" s="7" t="s">
        <v>190</v>
      </c>
      <c r="J644" s="54">
        <v>600000.0</v>
      </c>
    </row>
    <row r="645">
      <c r="A645" s="9"/>
      <c r="B645" s="31"/>
      <c r="C645" s="9"/>
      <c r="D645" s="9"/>
      <c r="E645" s="9"/>
      <c r="F645" s="9"/>
      <c r="G645" s="9"/>
      <c r="H645" s="9"/>
      <c r="I645" s="7" t="s">
        <v>468</v>
      </c>
      <c r="J645" s="54">
        <v>700000.0</v>
      </c>
    </row>
    <row r="646">
      <c r="A646" s="10"/>
      <c r="B646" s="32"/>
      <c r="C646" s="10"/>
      <c r="D646" s="10"/>
      <c r="E646" s="10"/>
      <c r="F646" s="10"/>
      <c r="G646" s="10"/>
      <c r="H646" s="10"/>
      <c r="I646" s="7" t="s">
        <v>245</v>
      </c>
      <c r="J646" s="54">
        <v>150000.0</v>
      </c>
    </row>
    <row r="647">
      <c r="A647" s="5">
        <v>216.0</v>
      </c>
      <c r="B647" s="30" t="s">
        <v>759</v>
      </c>
      <c r="C647" s="5" t="s">
        <v>160</v>
      </c>
      <c r="D647" s="5" t="s">
        <v>1103</v>
      </c>
      <c r="E647" s="5" t="s">
        <v>734</v>
      </c>
      <c r="F647" s="5" t="s">
        <v>105</v>
      </c>
      <c r="G647" s="5">
        <v>8.571940144E10</v>
      </c>
      <c r="H647" s="5" t="s">
        <v>761</v>
      </c>
      <c r="I647" s="7" t="s">
        <v>190</v>
      </c>
      <c r="J647" s="54">
        <v>2000000.0</v>
      </c>
    </row>
    <row r="648">
      <c r="A648" s="9"/>
      <c r="B648" s="31"/>
      <c r="C648" s="9"/>
      <c r="D648" s="9"/>
      <c r="E648" s="9"/>
      <c r="F648" s="9"/>
      <c r="G648" s="9"/>
      <c r="H648" s="9"/>
      <c r="I648" s="7" t="s">
        <v>468</v>
      </c>
      <c r="J648" s="54">
        <v>3000000.0</v>
      </c>
    </row>
    <row r="649">
      <c r="A649" s="10"/>
      <c r="B649" s="32"/>
      <c r="C649" s="10"/>
      <c r="D649" s="10"/>
      <c r="E649" s="10"/>
      <c r="F649" s="10"/>
      <c r="G649" s="10"/>
      <c r="H649" s="10"/>
      <c r="I649" s="7" t="s">
        <v>245</v>
      </c>
      <c r="J649" s="54">
        <v>750000.0</v>
      </c>
    </row>
    <row r="650">
      <c r="A650" s="5">
        <v>217.0</v>
      </c>
      <c r="B650" s="30" t="s">
        <v>1104</v>
      </c>
      <c r="C650" s="5" t="s">
        <v>160</v>
      </c>
      <c r="D650" s="5" t="s">
        <v>1105</v>
      </c>
      <c r="E650" s="5" t="s">
        <v>734</v>
      </c>
      <c r="F650" s="5" t="s">
        <v>105</v>
      </c>
      <c r="G650" s="5">
        <v>8.571940144E10</v>
      </c>
      <c r="H650" s="5" t="s">
        <v>761</v>
      </c>
      <c r="I650" s="7" t="s">
        <v>190</v>
      </c>
      <c r="J650" s="54">
        <v>2000000.0</v>
      </c>
    </row>
    <row r="651">
      <c r="A651" s="9"/>
      <c r="B651" s="31"/>
      <c r="C651" s="9"/>
      <c r="D651" s="9"/>
      <c r="E651" s="9"/>
      <c r="F651" s="9"/>
      <c r="G651" s="9"/>
      <c r="H651" s="9"/>
      <c r="I651" s="7" t="s">
        <v>468</v>
      </c>
      <c r="J651" s="54">
        <v>3000000.0</v>
      </c>
    </row>
    <row r="652">
      <c r="A652" s="10"/>
      <c r="B652" s="32"/>
      <c r="C652" s="10"/>
      <c r="D652" s="10"/>
      <c r="E652" s="10"/>
      <c r="F652" s="10"/>
      <c r="G652" s="10"/>
      <c r="H652" s="10"/>
      <c r="I652" s="7" t="s">
        <v>245</v>
      </c>
      <c r="J652" s="54">
        <v>750000.0</v>
      </c>
    </row>
    <row r="653">
      <c r="A653" s="5">
        <v>218.0</v>
      </c>
      <c r="B653" s="30" t="s">
        <v>1106</v>
      </c>
      <c r="C653" s="5" t="s">
        <v>160</v>
      </c>
      <c r="D653" s="5" t="s">
        <v>1107</v>
      </c>
      <c r="E653" s="5" t="s">
        <v>734</v>
      </c>
      <c r="F653" s="5" t="s">
        <v>105</v>
      </c>
      <c r="G653" s="5">
        <v>8.571940144E10</v>
      </c>
      <c r="H653" s="5" t="s">
        <v>761</v>
      </c>
      <c r="I653" s="7" t="s">
        <v>190</v>
      </c>
      <c r="J653" s="54">
        <v>600000.0</v>
      </c>
    </row>
    <row r="654">
      <c r="A654" s="9"/>
      <c r="B654" s="31"/>
      <c r="C654" s="9"/>
      <c r="D654" s="9"/>
      <c r="E654" s="9"/>
      <c r="F654" s="9"/>
      <c r="G654" s="9"/>
      <c r="H654" s="9"/>
      <c r="I654" s="7" t="s">
        <v>468</v>
      </c>
      <c r="J654" s="54">
        <v>700000.0</v>
      </c>
    </row>
    <row r="655">
      <c r="A655" s="10"/>
      <c r="B655" s="32"/>
      <c r="C655" s="10"/>
      <c r="D655" s="10"/>
      <c r="E655" s="10"/>
      <c r="F655" s="10"/>
      <c r="G655" s="10"/>
      <c r="H655" s="10"/>
      <c r="I655" s="7" t="s">
        <v>245</v>
      </c>
      <c r="J655" s="54">
        <v>150000.0</v>
      </c>
    </row>
    <row r="656">
      <c r="A656" s="5">
        <v>219.0</v>
      </c>
      <c r="B656" s="30" t="s">
        <v>1108</v>
      </c>
      <c r="C656" s="5" t="s">
        <v>160</v>
      </c>
      <c r="D656" s="5" t="s">
        <v>1109</v>
      </c>
      <c r="E656" s="5" t="s">
        <v>734</v>
      </c>
      <c r="F656" s="5" t="s">
        <v>105</v>
      </c>
      <c r="G656" s="5">
        <v>8.571940144E10</v>
      </c>
      <c r="H656" s="5" t="s">
        <v>761</v>
      </c>
      <c r="I656" s="7" t="s">
        <v>190</v>
      </c>
      <c r="J656" s="54">
        <v>600000.0</v>
      </c>
    </row>
    <row r="657">
      <c r="A657" s="9"/>
      <c r="B657" s="31"/>
      <c r="C657" s="9"/>
      <c r="D657" s="9"/>
      <c r="E657" s="9"/>
      <c r="F657" s="9"/>
      <c r="G657" s="9"/>
      <c r="H657" s="9"/>
      <c r="I657" s="7" t="s">
        <v>468</v>
      </c>
      <c r="J657" s="54">
        <v>700000.0</v>
      </c>
    </row>
    <row r="658">
      <c r="A658" s="10"/>
      <c r="B658" s="32"/>
      <c r="C658" s="10"/>
      <c r="D658" s="10"/>
      <c r="E658" s="10"/>
      <c r="F658" s="10"/>
      <c r="G658" s="10"/>
      <c r="H658" s="10"/>
      <c r="I658" s="7" t="s">
        <v>245</v>
      </c>
      <c r="J658" s="54">
        <v>150000.0</v>
      </c>
    </row>
    <row r="659">
      <c r="A659" s="5">
        <v>220.0</v>
      </c>
      <c r="B659" s="30" t="s">
        <v>1110</v>
      </c>
      <c r="C659" s="5" t="s">
        <v>160</v>
      </c>
      <c r="D659" s="5" t="s">
        <v>1040</v>
      </c>
      <c r="E659" s="5" t="s">
        <v>734</v>
      </c>
      <c r="F659" s="5" t="s">
        <v>105</v>
      </c>
      <c r="G659" s="5">
        <v>8.571940144E10</v>
      </c>
      <c r="H659" s="5" t="s">
        <v>761</v>
      </c>
      <c r="I659" s="7" t="s">
        <v>190</v>
      </c>
      <c r="J659" s="54">
        <v>600000.0</v>
      </c>
    </row>
    <row r="660">
      <c r="A660" s="9"/>
      <c r="B660" s="31"/>
      <c r="C660" s="9"/>
      <c r="D660" s="9"/>
      <c r="E660" s="9"/>
      <c r="F660" s="9"/>
      <c r="G660" s="9"/>
      <c r="H660" s="9"/>
      <c r="I660" s="7" t="s">
        <v>468</v>
      </c>
      <c r="J660" s="54">
        <v>700000.0</v>
      </c>
    </row>
    <row r="661">
      <c r="A661" s="10"/>
      <c r="B661" s="32"/>
      <c r="C661" s="10"/>
      <c r="D661" s="10"/>
      <c r="E661" s="10"/>
      <c r="F661" s="10"/>
      <c r="G661" s="10"/>
      <c r="H661" s="10"/>
      <c r="I661" s="7" t="s">
        <v>245</v>
      </c>
      <c r="J661" s="54">
        <v>150000.0</v>
      </c>
    </row>
    <row r="662">
      <c r="A662" s="5">
        <v>221.0</v>
      </c>
      <c r="B662" s="30" t="s">
        <v>1111</v>
      </c>
      <c r="C662" s="5" t="s">
        <v>160</v>
      </c>
      <c r="D662" s="5" t="s">
        <v>1112</v>
      </c>
      <c r="E662" s="5" t="s">
        <v>734</v>
      </c>
      <c r="F662" s="5" t="s">
        <v>105</v>
      </c>
      <c r="G662" s="5">
        <v>8.571940144E10</v>
      </c>
      <c r="H662" s="5" t="s">
        <v>761</v>
      </c>
      <c r="I662" s="7" t="s">
        <v>190</v>
      </c>
      <c r="J662" s="54">
        <v>2000000.0</v>
      </c>
    </row>
    <row r="663">
      <c r="A663" s="9"/>
      <c r="B663" s="31"/>
      <c r="C663" s="9"/>
      <c r="D663" s="9"/>
      <c r="E663" s="9"/>
      <c r="F663" s="9"/>
      <c r="G663" s="9"/>
      <c r="H663" s="9"/>
      <c r="I663" s="7" t="s">
        <v>468</v>
      </c>
      <c r="J663" s="54">
        <v>3000000.0</v>
      </c>
    </row>
    <row r="664">
      <c r="A664" s="10"/>
      <c r="B664" s="32"/>
      <c r="C664" s="10"/>
      <c r="D664" s="10"/>
      <c r="E664" s="10"/>
      <c r="F664" s="10"/>
      <c r="G664" s="10"/>
      <c r="H664" s="10"/>
      <c r="I664" s="7" t="s">
        <v>245</v>
      </c>
      <c r="J664" s="54">
        <v>750000.0</v>
      </c>
    </row>
    <row r="665">
      <c r="A665" s="5">
        <v>222.0</v>
      </c>
      <c r="B665" s="30" t="s">
        <v>1113</v>
      </c>
      <c r="C665" s="5" t="s">
        <v>160</v>
      </c>
      <c r="D665" s="5" t="s">
        <v>1114</v>
      </c>
      <c r="E665" s="5" t="s">
        <v>734</v>
      </c>
      <c r="F665" s="5" t="s">
        <v>105</v>
      </c>
      <c r="G665" s="5">
        <v>8.571940144E10</v>
      </c>
      <c r="H665" s="5" t="s">
        <v>1115</v>
      </c>
      <c r="I665" s="7" t="s">
        <v>190</v>
      </c>
      <c r="J665" s="54">
        <v>2000000.0</v>
      </c>
    </row>
    <row r="666">
      <c r="A666" s="9"/>
      <c r="B666" s="31"/>
      <c r="C666" s="9"/>
      <c r="D666" s="9"/>
      <c r="E666" s="9"/>
      <c r="F666" s="9"/>
      <c r="G666" s="9"/>
      <c r="H666" s="9"/>
      <c r="I666" s="7" t="s">
        <v>468</v>
      </c>
      <c r="J666" s="54">
        <v>3000000.0</v>
      </c>
    </row>
    <row r="667">
      <c r="A667" s="10"/>
      <c r="B667" s="32"/>
      <c r="C667" s="10"/>
      <c r="D667" s="10"/>
      <c r="E667" s="10"/>
      <c r="F667" s="10"/>
      <c r="G667" s="10"/>
      <c r="H667" s="10"/>
      <c r="I667" s="7" t="s">
        <v>245</v>
      </c>
      <c r="J667" s="54">
        <v>750000.0</v>
      </c>
    </row>
    <row r="668">
      <c r="A668" s="5">
        <v>223.0</v>
      </c>
      <c r="B668" s="30" t="s">
        <v>1116</v>
      </c>
      <c r="C668" s="5" t="s">
        <v>160</v>
      </c>
      <c r="D668" s="5" t="s">
        <v>1117</v>
      </c>
      <c r="E668" s="5" t="s">
        <v>734</v>
      </c>
      <c r="F668" s="5" t="s">
        <v>105</v>
      </c>
      <c r="G668" s="5">
        <v>8.571940144E10</v>
      </c>
      <c r="H668" s="5" t="s">
        <v>1115</v>
      </c>
      <c r="I668" s="7" t="s">
        <v>190</v>
      </c>
      <c r="J668" s="54">
        <v>2000000.0</v>
      </c>
    </row>
    <row r="669">
      <c r="A669" s="9"/>
      <c r="B669" s="31"/>
      <c r="C669" s="9"/>
      <c r="D669" s="9"/>
      <c r="E669" s="9"/>
      <c r="F669" s="9"/>
      <c r="G669" s="9"/>
      <c r="H669" s="9"/>
      <c r="I669" s="7" t="s">
        <v>468</v>
      </c>
      <c r="J669" s="54">
        <v>3000000.0</v>
      </c>
    </row>
    <row r="670">
      <c r="A670" s="10"/>
      <c r="B670" s="32"/>
      <c r="C670" s="10"/>
      <c r="D670" s="10"/>
      <c r="E670" s="10"/>
      <c r="F670" s="10"/>
      <c r="G670" s="10"/>
      <c r="H670" s="10"/>
      <c r="I670" s="7" t="s">
        <v>245</v>
      </c>
      <c r="J670" s="54">
        <v>750000.0</v>
      </c>
    </row>
    <row r="671">
      <c r="A671" s="5">
        <v>224.0</v>
      </c>
      <c r="B671" s="30" t="s">
        <v>1118</v>
      </c>
      <c r="C671" s="5" t="s">
        <v>160</v>
      </c>
      <c r="D671" s="5" t="s">
        <v>1119</v>
      </c>
      <c r="E671" s="5" t="s">
        <v>734</v>
      </c>
      <c r="F671" s="5" t="s">
        <v>105</v>
      </c>
      <c r="G671" s="5">
        <v>8.571940144E10</v>
      </c>
      <c r="H671" s="5" t="s">
        <v>1115</v>
      </c>
      <c r="I671" s="7" t="s">
        <v>190</v>
      </c>
      <c r="J671" s="54">
        <v>2000000.0</v>
      </c>
    </row>
    <row r="672">
      <c r="A672" s="9"/>
      <c r="B672" s="31"/>
      <c r="C672" s="9"/>
      <c r="D672" s="9"/>
      <c r="E672" s="9"/>
      <c r="F672" s="9"/>
      <c r="G672" s="9"/>
      <c r="H672" s="9"/>
      <c r="I672" s="7" t="s">
        <v>468</v>
      </c>
      <c r="J672" s="54">
        <v>3000000.0</v>
      </c>
    </row>
    <row r="673">
      <c r="A673" s="10"/>
      <c r="B673" s="32"/>
      <c r="C673" s="10"/>
      <c r="D673" s="10"/>
      <c r="E673" s="10"/>
      <c r="F673" s="10"/>
      <c r="G673" s="10"/>
      <c r="H673" s="10"/>
      <c r="I673" s="34" t="s">
        <v>245</v>
      </c>
      <c r="J673" s="57">
        <v>750000.0</v>
      </c>
    </row>
    <row r="674">
      <c r="A674" s="5">
        <v>225.0</v>
      </c>
      <c r="B674" s="58" t="s">
        <v>1120</v>
      </c>
      <c r="C674" s="59" t="s">
        <v>160</v>
      </c>
      <c r="D674" s="60"/>
      <c r="E674" s="5" t="s">
        <v>734</v>
      </c>
      <c r="F674" s="61" t="s">
        <v>105</v>
      </c>
      <c r="G674" s="5">
        <v>8.571940144E10</v>
      </c>
      <c r="H674" s="61" t="s">
        <v>231</v>
      </c>
      <c r="I674" s="62" t="s">
        <v>190</v>
      </c>
      <c r="J674" s="63">
        <v>100000.0</v>
      </c>
    </row>
    <row r="675">
      <c r="A675" s="9"/>
      <c r="B675" s="41"/>
      <c r="C675" s="41"/>
      <c r="D675" s="41"/>
      <c r="E675" s="9"/>
      <c r="F675" s="40"/>
      <c r="G675" s="9"/>
      <c r="H675" s="40"/>
      <c r="I675" s="62" t="s">
        <v>468</v>
      </c>
      <c r="J675" s="63">
        <v>150000.0</v>
      </c>
    </row>
    <row r="676">
      <c r="A676" s="10"/>
      <c r="B676" s="41"/>
      <c r="C676" s="41"/>
      <c r="D676" s="41"/>
      <c r="E676" s="10"/>
      <c r="F676" s="40"/>
      <c r="G676" s="10"/>
      <c r="H676" s="40"/>
      <c r="I676" s="64" t="s">
        <v>245</v>
      </c>
      <c r="J676" s="65">
        <v>50000.0</v>
      </c>
    </row>
    <row r="677">
      <c r="A677" s="5">
        <v>226.0</v>
      </c>
      <c r="B677" s="58" t="s">
        <v>1121</v>
      </c>
      <c r="C677" s="59" t="s">
        <v>160</v>
      </c>
      <c r="D677" s="60"/>
      <c r="E677" s="5" t="s">
        <v>734</v>
      </c>
      <c r="F677" s="61" t="s">
        <v>105</v>
      </c>
      <c r="G677" s="5">
        <v>8.571940144E10</v>
      </c>
      <c r="H677" s="61" t="s">
        <v>231</v>
      </c>
      <c r="I677" s="66" t="s">
        <v>190</v>
      </c>
      <c r="J677" s="62" t="s">
        <v>1122</v>
      </c>
    </row>
    <row r="678">
      <c r="A678" s="9"/>
      <c r="B678" s="41"/>
      <c r="C678" s="41"/>
      <c r="D678" s="41"/>
      <c r="E678" s="9"/>
      <c r="F678" s="40"/>
      <c r="G678" s="9"/>
      <c r="H678" s="40"/>
      <c r="I678" s="66" t="s">
        <v>468</v>
      </c>
      <c r="J678" s="63">
        <v>300000.0</v>
      </c>
    </row>
    <row r="679">
      <c r="A679" s="10"/>
      <c r="B679" s="41"/>
      <c r="C679" s="41"/>
      <c r="D679" s="67"/>
      <c r="E679" s="10"/>
      <c r="F679" s="68"/>
      <c r="G679" s="10"/>
      <c r="H679" s="68"/>
      <c r="I679" s="69" t="s">
        <v>245</v>
      </c>
      <c r="J679" s="64" t="s">
        <v>1122</v>
      </c>
    </row>
    <row r="680">
      <c r="A680" s="5">
        <v>227.0</v>
      </c>
      <c r="B680" s="59" t="s">
        <v>1123</v>
      </c>
      <c r="C680" s="59" t="s">
        <v>160</v>
      </c>
      <c r="D680" s="59" t="s">
        <v>213</v>
      </c>
      <c r="E680" s="5" t="s">
        <v>734</v>
      </c>
      <c r="F680" s="61" t="s">
        <v>105</v>
      </c>
      <c r="G680" s="5">
        <v>8.571940144E10</v>
      </c>
      <c r="H680" s="61" t="s">
        <v>231</v>
      </c>
      <c r="I680" s="66" t="s">
        <v>190</v>
      </c>
      <c r="J680" s="63">
        <v>620000.0</v>
      </c>
    </row>
    <row r="681">
      <c r="A681" s="9"/>
      <c r="B681" s="41"/>
      <c r="C681" s="41"/>
      <c r="D681" s="41"/>
      <c r="E681" s="9"/>
      <c r="F681" s="40"/>
      <c r="G681" s="9"/>
      <c r="H681" s="40"/>
      <c r="I681" s="66" t="s">
        <v>468</v>
      </c>
      <c r="J681" s="63">
        <v>925000.0</v>
      </c>
    </row>
    <row r="682">
      <c r="A682" s="10"/>
      <c r="B682" s="67"/>
      <c r="C682" s="41"/>
      <c r="D682" s="67"/>
      <c r="E682" s="10"/>
      <c r="F682" s="68"/>
      <c r="G682" s="10"/>
      <c r="H682" s="68"/>
      <c r="I682" s="69" t="s">
        <v>245</v>
      </c>
      <c r="J682" s="65">
        <v>310000.0</v>
      </c>
    </row>
    <row r="683">
      <c r="A683" s="5">
        <v>228.0</v>
      </c>
      <c r="B683" s="59" t="s">
        <v>1124</v>
      </c>
      <c r="C683" s="59" t="s">
        <v>160</v>
      </c>
      <c r="D683" s="59" t="s">
        <v>1125</v>
      </c>
      <c r="E683" s="5" t="s">
        <v>734</v>
      </c>
      <c r="F683" s="61" t="s">
        <v>105</v>
      </c>
      <c r="G683" s="5">
        <v>8.571940144E10</v>
      </c>
      <c r="H683" s="61" t="s">
        <v>231</v>
      </c>
      <c r="I683" s="66" t="s">
        <v>190</v>
      </c>
      <c r="J683" s="63">
        <v>200000.0</v>
      </c>
    </row>
    <row r="684">
      <c r="A684" s="9"/>
      <c r="B684" s="41"/>
      <c r="C684" s="41"/>
      <c r="D684" s="41"/>
      <c r="E684" s="9"/>
      <c r="F684" s="40"/>
      <c r="G684" s="9"/>
      <c r="H684" s="40"/>
      <c r="I684" s="66" t="s">
        <v>468</v>
      </c>
      <c r="J684" s="63">
        <v>200000.0</v>
      </c>
    </row>
    <row r="685">
      <c r="A685" s="10"/>
      <c r="B685" s="41"/>
      <c r="C685" s="41"/>
      <c r="D685" s="67"/>
      <c r="E685" s="10"/>
      <c r="F685" s="68"/>
      <c r="G685" s="10"/>
      <c r="H685" s="68"/>
      <c r="I685" s="69" t="s">
        <v>245</v>
      </c>
      <c r="J685" s="65">
        <v>100000.0</v>
      </c>
    </row>
    <row r="686">
      <c r="A686" s="5">
        <v>229.0</v>
      </c>
      <c r="B686" s="59" t="s">
        <v>1126</v>
      </c>
      <c r="C686" s="59" t="s">
        <v>160</v>
      </c>
      <c r="D686" s="59" t="s">
        <v>1127</v>
      </c>
      <c r="E686" s="5" t="s">
        <v>734</v>
      </c>
      <c r="F686" s="61" t="s">
        <v>105</v>
      </c>
      <c r="G686" s="5">
        <v>8.571940144E10</v>
      </c>
      <c r="H686" s="61" t="s">
        <v>231</v>
      </c>
      <c r="I686" s="66" t="s">
        <v>190</v>
      </c>
      <c r="J686" s="63">
        <v>150000.0</v>
      </c>
    </row>
    <row r="687">
      <c r="A687" s="9"/>
      <c r="B687" s="41"/>
      <c r="C687" s="41"/>
      <c r="D687" s="41"/>
      <c r="E687" s="9"/>
      <c r="F687" s="40"/>
      <c r="G687" s="9"/>
      <c r="H687" s="40"/>
      <c r="I687" s="66" t="s">
        <v>468</v>
      </c>
      <c r="J687" s="63">
        <v>150000.0</v>
      </c>
    </row>
    <row r="688">
      <c r="A688" s="10"/>
      <c r="B688" s="41"/>
      <c r="C688" s="41"/>
      <c r="D688" s="67"/>
      <c r="E688" s="10"/>
      <c r="F688" s="68"/>
      <c r="G688" s="10"/>
      <c r="H688" s="68"/>
      <c r="I688" s="66" t="s">
        <v>245</v>
      </c>
      <c r="J688" s="63">
        <v>150000.0</v>
      </c>
    </row>
    <row r="689">
      <c r="A689" s="5">
        <v>230.0</v>
      </c>
      <c r="B689" s="59" t="s">
        <v>1128</v>
      </c>
      <c r="C689" s="70" t="s">
        <v>160</v>
      </c>
      <c r="D689" s="59" t="s">
        <v>1129</v>
      </c>
      <c r="E689" s="5" t="s">
        <v>734</v>
      </c>
      <c r="F689" s="61" t="s">
        <v>105</v>
      </c>
      <c r="G689" s="5">
        <v>8.571940144E10</v>
      </c>
      <c r="H689" s="61" t="s">
        <v>264</v>
      </c>
      <c r="I689" s="66" t="s">
        <v>190</v>
      </c>
      <c r="J689" s="63">
        <v>700000.0</v>
      </c>
    </row>
    <row r="690">
      <c r="A690" s="9"/>
      <c r="B690" s="41"/>
      <c r="C690" s="41"/>
      <c r="D690" s="41"/>
      <c r="E690" s="9"/>
      <c r="F690" s="40"/>
      <c r="G690" s="9"/>
      <c r="H690" s="40"/>
      <c r="I690" s="66" t="s">
        <v>468</v>
      </c>
      <c r="J690" s="63">
        <v>700000.0</v>
      </c>
    </row>
    <row r="691">
      <c r="A691" s="10"/>
      <c r="B691" s="41"/>
      <c r="C691" s="41"/>
      <c r="D691" s="67"/>
      <c r="E691" s="10"/>
      <c r="F691" s="68"/>
      <c r="G691" s="10"/>
      <c r="H691" s="68"/>
      <c r="I691" s="66" t="s">
        <v>245</v>
      </c>
      <c r="J691" s="63">
        <v>350000.0</v>
      </c>
    </row>
    <row r="692">
      <c r="A692" s="5">
        <v>231.0</v>
      </c>
      <c r="B692" s="59" t="s">
        <v>1130</v>
      </c>
      <c r="C692" s="59" t="s">
        <v>160</v>
      </c>
      <c r="D692" s="59" t="s">
        <v>1131</v>
      </c>
      <c r="E692" s="5" t="s">
        <v>734</v>
      </c>
      <c r="F692" s="61" t="s">
        <v>105</v>
      </c>
      <c r="G692" s="5">
        <v>8.571940144E10</v>
      </c>
      <c r="H692" s="61" t="s">
        <v>264</v>
      </c>
      <c r="I692" s="66" t="s">
        <v>190</v>
      </c>
      <c r="J692" s="63">
        <v>500000.0</v>
      </c>
    </row>
    <row r="693">
      <c r="A693" s="9"/>
      <c r="B693" s="41"/>
      <c r="C693" s="41"/>
      <c r="D693" s="41"/>
      <c r="E693" s="9"/>
      <c r="F693" s="40"/>
      <c r="G693" s="9"/>
      <c r="H693" s="40"/>
      <c r="I693" s="66" t="s">
        <v>468</v>
      </c>
      <c r="J693" s="63">
        <v>500000.0</v>
      </c>
    </row>
    <row r="694">
      <c r="A694" s="10"/>
      <c r="B694" s="41"/>
      <c r="C694" s="67"/>
      <c r="D694" s="67"/>
      <c r="E694" s="10"/>
      <c r="F694" s="68"/>
      <c r="G694" s="10"/>
      <c r="H694" s="68"/>
      <c r="I694" s="66" t="s">
        <v>245</v>
      </c>
      <c r="J694" s="63">
        <v>300000.0</v>
      </c>
    </row>
    <row r="695">
      <c r="A695" s="5">
        <v>232.0</v>
      </c>
      <c r="B695" s="71" t="s">
        <v>1132</v>
      </c>
      <c r="C695" s="59" t="s">
        <v>160</v>
      </c>
      <c r="D695" s="59" t="s">
        <v>1133</v>
      </c>
      <c r="E695" s="5" t="s">
        <v>734</v>
      </c>
      <c r="F695" s="61" t="s">
        <v>105</v>
      </c>
      <c r="G695" s="5">
        <v>8.571940144E10</v>
      </c>
      <c r="H695" s="61" t="s">
        <v>264</v>
      </c>
      <c r="I695" s="66" t="s">
        <v>190</v>
      </c>
      <c r="J695" s="63">
        <v>450000.0</v>
      </c>
    </row>
    <row r="696">
      <c r="A696" s="9"/>
      <c r="B696" s="41"/>
      <c r="C696" s="41"/>
      <c r="D696" s="41"/>
      <c r="E696" s="9"/>
      <c r="F696" s="40"/>
      <c r="G696" s="9"/>
      <c r="H696" s="40"/>
      <c r="I696" s="66" t="s">
        <v>468</v>
      </c>
      <c r="J696" s="63">
        <v>500000.0</v>
      </c>
    </row>
    <row r="697">
      <c r="A697" s="10"/>
      <c r="B697" s="41"/>
      <c r="C697" s="67"/>
      <c r="D697" s="67"/>
      <c r="E697" s="10"/>
      <c r="F697" s="68"/>
      <c r="G697" s="10"/>
      <c r="H697" s="68"/>
      <c r="I697" s="66" t="s">
        <v>245</v>
      </c>
      <c r="J697" s="63">
        <v>200000.0</v>
      </c>
    </row>
    <row r="698">
      <c r="A698" s="5">
        <v>233.0</v>
      </c>
      <c r="B698" s="70" t="s">
        <v>1134</v>
      </c>
      <c r="C698" s="59" t="s">
        <v>160</v>
      </c>
      <c r="D698" s="59" t="s">
        <v>1135</v>
      </c>
      <c r="E698" s="5" t="s">
        <v>734</v>
      </c>
      <c r="F698" s="61" t="s">
        <v>105</v>
      </c>
      <c r="G698" s="5">
        <v>8.571940144E10</v>
      </c>
      <c r="H698" s="61" t="s">
        <v>264</v>
      </c>
      <c r="I698" s="66" t="s">
        <v>190</v>
      </c>
      <c r="J698" s="63">
        <v>400000.0</v>
      </c>
    </row>
    <row r="699">
      <c r="A699" s="9"/>
      <c r="B699" s="41"/>
      <c r="C699" s="41"/>
      <c r="D699" s="41"/>
      <c r="E699" s="9"/>
      <c r="F699" s="40"/>
      <c r="G699" s="9"/>
      <c r="H699" s="40"/>
      <c r="I699" s="66" t="s">
        <v>468</v>
      </c>
      <c r="J699" s="63">
        <v>450000.0</v>
      </c>
    </row>
    <row r="700">
      <c r="A700" s="10"/>
      <c r="B700" s="41"/>
      <c r="C700" s="67"/>
      <c r="D700" s="67"/>
      <c r="E700" s="10"/>
      <c r="F700" s="68"/>
      <c r="G700" s="10"/>
      <c r="H700" s="68"/>
      <c r="I700" s="66" t="s">
        <v>245</v>
      </c>
      <c r="J700" s="63">
        <v>200000.0</v>
      </c>
    </row>
    <row r="701">
      <c r="A701" s="5">
        <v>234.0</v>
      </c>
      <c r="B701" s="70" t="s">
        <v>1136</v>
      </c>
      <c r="C701" s="59" t="s">
        <v>160</v>
      </c>
      <c r="D701" s="59" t="s">
        <v>1137</v>
      </c>
      <c r="E701" s="5" t="s">
        <v>734</v>
      </c>
      <c r="F701" s="72" t="s">
        <v>105</v>
      </c>
      <c r="G701" s="5">
        <v>8.571940144E10</v>
      </c>
      <c r="H701" s="72" t="s">
        <v>264</v>
      </c>
      <c r="I701" s="66" t="s">
        <v>190</v>
      </c>
      <c r="J701" s="63">
        <v>450000.0</v>
      </c>
    </row>
    <row r="702">
      <c r="A702" s="9"/>
      <c r="B702" s="41"/>
      <c r="C702" s="41"/>
      <c r="D702" s="41"/>
      <c r="E702" s="9"/>
      <c r="F702" s="40"/>
      <c r="G702" s="9"/>
      <c r="H702" s="40"/>
      <c r="I702" s="66" t="s">
        <v>468</v>
      </c>
      <c r="J702" s="63">
        <v>450000.0</v>
      </c>
    </row>
    <row r="703">
      <c r="A703" s="10"/>
      <c r="B703" s="41"/>
      <c r="C703" s="67"/>
      <c r="D703" s="67"/>
      <c r="E703" s="10"/>
      <c r="F703" s="68"/>
      <c r="G703" s="10"/>
      <c r="H703" s="68"/>
      <c r="I703" s="66" t="s">
        <v>245</v>
      </c>
      <c r="J703" s="63">
        <v>200000.0</v>
      </c>
    </row>
    <row r="704">
      <c r="A704" s="5">
        <v>235.0</v>
      </c>
      <c r="B704" s="70" t="s">
        <v>1138</v>
      </c>
      <c r="C704" s="59" t="s">
        <v>160</v>
      </c>
      <c r="D704" s="59" t="s">
        <v>1139</v>
      </c>
      <c r="E704" s="5" t="s">
        <v>734</v>
      </c>
      <c r="F704" s="61" t="s">
        <v>105</v>
      </c>
      <c r="G704" s="5">
        <v>8.571940144E10</v>
      </c>
      <c r="H704" s="61" t="s">
        <v>264</v>
      </c>
      <c r="I704" s="66" t="s">
        <v>190</v>
      </c>
      <c r="J704" s="63">
        <v>300000.0</v>
      </c>
    </row>
    <row r="705">
      <c r="A705" s="9"/>
      <c r="B705" s="41"/>
      <c r="C705" s="41"/>
      <c r="D705" s="41"/>
      <c r="E705" s="9"/>
      <c r="F705" s="40"/>
      <c r="G705" s="9"/>
      <c r="H705" s="40"/>
      <c r="I705" s="66" t="s">
        <v>468</v>
      </c>
      <c r="J705" s="63">
        <v>350000.0</v>
      </c>
    </row>
    <row r="706">
      <c r="A706" s="10"/>
      <c r="B706" s="41"/>
      <c r="C706" s="67"/>
      <c r="D706" s="67"/>
      <c r="E706" s="10"/>
      <c r="F706" s="68"/>
      <c r="G706" s="10"/>
      <c r="H706" s="68"/>
      <c r="I706" s="66" t="s">
        <v>245</v>
      </c>
      <c r="J706" s="63">
        <v>200000.0</v>
      </c>
    </row>
    <row r="707">
      <c r="A707" s="5">
        <v>236.0</v>
      </c>
      <c r="B707" s="70" t="s">
        <v>1140</v>
      </c>
      <c r="C707" s="59" t="s">
        <v>160</v>
      </c>
      <c r="D707" s="59" t="s">
        <v>1141</v>
      </c>
      <c r="E707" s="5" t="s">
        <v>734</v>
      </c>
      <c r="F707" s="61" t="s">
        <v>105</v>
      </c>
      <c r="G707" s="5">
        <v>8.571940144E10</v>
      </c>
      <c r="H707" s="61" t="s">
        <v>264</v>
      </c>
      <c r="I707" s="69" t="s">
        <v>190</v>
      </c>
      <c r="J707" s="65">
        <v>350000.0</v>
      </c>
    </row>
    <row r="708">
      <c r="A708" s="9"/>
      <c r="B708" s="41"/>
      <c r="C708" s="41"/>
      <c r="D708" s="41"/>
      <c r="E708" s="9"/>
      <c r="F708" s="40"/>
      <c r="G708" s="9"/>
      <c r="H708" s="40"/>
      <c r="I708" s="66" t="s">
        <v>468</v>
      </c>
      <c r="J708" s="63">
        <v>400000.0</v>
      </c>
    </row>
    <row r="709">
      <c r="A709" s="10"/>
      <c r="B709" s="41"/>
      <c r="C709" s="67"/>
      <c r="D709" s="67"/>
      <c r="E709" s="10"/>
      <c r="F709" s="68"/>
      <c r="G709" s="10"/>
      <c r="H709" s="68"/>
      <c r="I709" s="66" t="s">
        <v>245</v>
      </c>
      <c r="J709" s="63">
        <v>200000.0</v>
      </c>
    </row>
    <row r="710">
      <c r="A710" s="5">
        <v>237.0</v>
      </c>
      <c r="B710" s="59" t="s">
        <v>1142</v>
      </c>
      <c r="C710" s="59" t="s">
        <v>160</v>
      </c>
      <c r="D710" s="59" t="s">
        <v>1143</v>
      </c>
      <c r="E710" s="5" t="s">
        <v>734</v>
      </c>
      <c r="F710" s="61" t="s">
        <v>105</v>
      </c>
      <c r="G710" s="5">
        <v>8.571940144E10</v>
      </c>
      <c r="H710" s="61" t="s">
        <v>264</v>
      </c>
      <c r="I710" s="66" t="s">
        <v>190</v>
      </c>
      <c r="J710" s="63">
        <v>400000.0</v>
      </c>
    </row>
    <row r="711">
      <c r="A711" s="9"/>
      <c r="B711" s="41"/>
      <c r="C711" s="41"/>
      <c r="D711" s="41"/>
      <c r="E711" s="9"/>
      <c r="F711" s="40"/>
      <c r="G711" s="9"/>
      <c r="H711" s="40"/>
      <c r="I711" s="66" t="s">
        <v>468</v>
      </c>
      <c r="J711" s="63">
        <v>400000.0</v>
      </c>
    </row>
    <row r="712">
      <c r="A712" s="10"/>
      <c r="B712" s="41"/>
      <c r="C712" s="67"/>
      <c r="D712" s="67"/>
      <c r="E712" s="10"/>
      <c r="F712" s="68"/>
      <c r="G712" s="10"/>
      <c r="H712" s="68"/>
      <c r="I712" s="66" t="s">
        <v>245</v>
      </c>
      <c r="J712" s="63">
        <v>250000.0</v>
      </c>
    </row>
    <row r="713">
      <c r="A713" s="5">
        <v>238.0</v>
      </c>
      <c r="B713" s="59" t="s">
        <v>1144</v>
      </c>
      <c r="C713" s="59" t="s">
        <v>160</v>
      </c>
      <c r="D713" s="59" t="s">
        <v>1145</v>
      </c>
      <c r="E713" s="5" t="s">
        <v>734</v>
      </c>
      <c r="F713" s="72" t="s">
        <v>105</v>
      </c>
      <c r="G713" s="5">
        <v>8.571940144E10</v>
      </c>
      <c r="H713" s="72" t="s">
        <v>264</v>
      </c>
      <c r="I713" s="66" t="s">
        <v>190</v>
      </c>
      <c r="J713" s="63">
        <v>200000.0</v>
      </c>
    </row>
    <row r="714">
      <c r="A714" s="9"/>
      <c r="B714" s="41"/>
      <c r="C714" s="41"/>
      <c r="D714" s="41"/>
      <c r="E714" s="9"/>
      <c r="F714" s="40"/>
      <c r="G714" s="9"/>
      <c r="H714" s="40"/>
      <c r="I714" s="66" t="s">
        <v>468</v>
      </c>
      <c r="J714" s="63">
        <v>250000.0</v>
      </c>
    </row>
    <row r="715">
      <c r="A715" s="10"/>
      <c r="B715" s="41"/>
      <c r="C715" s="67"/>
      <c r="D715" s="67"/>
      <c r="E715" s="10"/>
      <c r="F715" s="68"/>
      <c r="G715" s="10"/>
      <c r="H715" s="68"/>
      <c r="I715" s="66" t="s">
        <v>245</v>
      </c>
      <c r="J715" s="63">
        <v>50000.0</v>
      </c>
    </row>
    <row r="716">
      <c r="A716" s="5">
        <v>239.0</v>
      </c>
      <c r="B716" s="59" t="s">
        <v>1146</v>
      </c>
      <c r="C716" s="59" t="s">
        <v>160</v>
      </c>
      <c r="D716" s="59" t="s">
        <v>1147</v>
      </c>
      <c r="E716" s="5" t="s">
        <v>734</v>
      </c>
      <c r="F716" s="61" t="s">
        <v>105</v>
      </c>
      <c r="G716" s="5">
        <v>8.571940144E10</v>
      </c>
      <c r="H716" s="61" t="s">
        <v>171</v>
      </c>
      <c r="I716" s="66" t="s">
        <v>190</v>
      </c>
      <c r="J716" s="63">
        <v>1500000.0</v>
      </c>
    </row>
    <row r="717">
      <c r="A717" s="9"/>
      <c r="B717" s="41"/>
      <c r="C717" s="41"/>
      <c r="D717" s="41"/>
      <c r="E717" s="9"/>
      <c r="F717" s="40"/>
      <c r="G717" s="9"/>
      <c r="H717" s="40"/>
      <c r="I717" s="66" t="s">
        <v>468</v>
      </c>
      <c r="J717" s="63">
        <v>3000000.0</v>
      </c>
    </row>
    <row r="718">
      <c r="A718" s="10"/>
      <c r="B718" s="41"/>
      <c r="C718" s="67"/>
      <c r="D718" s="67"/>
      <c r="E718" s="10"/>
      <c r="F718" s="68"/>
      <c r="G718" s="10"/>
      <c r="H718" s="68"/>
      <c r="I718" s="66" t="s">
        <v>245</v>
      </c>
      <c r="J718" s="63">
        <v>500000.0</v>
      </c>
    </row>
    <row r="719">
      <c r="A719" s="5">
        <v>240.0</v>
      </c>
      <c r="B719" s="59" t="s">
        <v>1148</v>
      </c>
      <c r="C719" s="59" t="s">
        <v>160</v>
      </c>
      <c r="D719" s="59" t="s">
        <v>1149</v>
      </c>
      <c r="E719" s="5" t="s">
        <v>734</v>
      </c>
      <c r="F719" s="61" t="s">
        <v>105</v>
      </c>
      <c r="G719" s="5">
        <v>8.571940144E10</v>
      </c>
      <c r="H719" s="61" t="s">
        <v>581</v>
      </c>
      <c r="I719" s="66" t="s">
        <v>190</v>
      </c>
      <c r="J719" s="63">
        <v>500000.0</v>
      </c>
    </row>
    <row r="720">
      <c r="A720" s="9"/>
      <c r="B720" s="41"/>
      <c r="C720" s="41"/>
      <c r="D720" s="41"/>
      <c r="E720" s="9"/>
      <c r="F720" s="40"/>
      <c r="G720" s="9"/>
      <c r="H720" s="40"/>
      <c r="I720" s="66" t="s">
        <v>468</v>
      </c>
      <c r="J720" s="63">
        <v>500000.0</v>
      </c>
    </row>
    <row r="721">
      <c r="A721" s="10"/>
      <c r="B721" s="41"/>
      <c r="C721" s="67"/>
      <c r="D721" s="67"/>
      <c r="E721" s="10"/>
      <c r="F721" s="68"/>
      <c r="G721" s="10"/>
      <c r="H721" s="68"/>
      <c r="I721" s="66" t="s">
        <v>245</v>
      </c>
      <c r="J721" s="63">
        <v>250000.0</v>
      </c>
    </row>
    <row r="722">
      <c r="A722" s="5">
        <v>241.0</v>
      </c>
      <c r="B722" s="59" t="s">
        <v>1150</v>
      </c>
      <c r="C722" s="59" t="s">
        <v>160</v>
      </c>
      <c r="D722" s="59" t="s">
        <v>1151</v>
      </c>
      <c r="E722" s="5" t="s">
        <v>734</v>
      </c>
      <c r="F722" s="61" t="s">
        <v>105</v>
      </c>
      <c r="G722" s="5">
        <v>8.571940144E10</v>
      </c>
      <c r="H722" s="61" t="s">
        <v>1152</v>
      </c>
      <c r="I722" s="66" t="s">
        <v>190</v>
      </c>
      <c r="J722" s="63">
        <v>300000.0</v>
      </c>
    </row>
    <row r="723">
      <c r="A723" s="9"/>
      <c r="B723" s="41"/>
      <c r="C723" s="41"/>
      <c r="D723" s="41"/>
      <c r="E723" s="9"/>
      <c r="F723" s="40"/>
      <c r="G723" s="9"/>
      <c r="H723" s="40"/>
      <c r="I723" s="66" t="s">
        <v>468</v>
      </c>
      <c r="J723" s="63">
        <v>300000.0</v>
      </c>
    </row>
    <row r="724">
      <c r="A724" s="10"/>
      <c r="B724" s="41"/>
      <c r="C724" s="67"/>
      <c r="D724" s="67"/>
      <c r="E724" s="10"/>
      <c r="F724" s="68"/>
      <c r="G724" s="10"/>
      <c r="H724" s="68"/>
      <c r="I724" s="66" t="s">
        <v>245</v>
      </c>
      <c r="J724" s="63">
        <v>300000.0</v>
      </c>
    </row>
    <row r="725">
      <c r="A725" s="5">
        <v>242.0</v>
      </c>
      <c r="B725" s="59" t="s">
        <v>1153</v>
      </c>
      <c r="C725" s="59" t="s">
        <v>160</v>
      </c>
      <c r="D725" s="59" t="s">
        <v>1154</v>
      </c>
      <c r="E725" s="5" t="s">
        <v>734</v>
      </c>
      <c r="F725" s="61" t="s">
        <v>105</v>
      </c>
      <c r="G725" s="5">
        <v>8.571940144E10</v>
      </c>
      <c r="H725" s="61" t="s">
        <v>1155</v>
      </c>
      <c r="I725" s="66" t="s">
        <v>190</v>
      </c>
      <c r="J725" s="63">
        <v>300000.0</v>
      </c>
    </row>
    <row r="726">
      <c r="A726" s="9"/>
      <c r="B726" s="41"/>
      <c r="C726" s="41"/>
      <c r="D726" s="41"/>
      <c r="E726" s="9"/>
      <c r="F726" s="40"/>
      <c r="G726" s="9"/>
      <c r="H726" s="40"/>
      <c r="I726" s="66" t="s">
        <v>468</v>
      </c>
      <c r="J726" s="63">
        <v>350000.0</v>
      </c>
    </row>
    <row r="727">
      <c r="A727" s="10"/>
      <c r="B727" s="41"/>
      <c r="C727" s="67"/>
      <c r="D727" s="67"/>
      <c r="E727" s="10"/>
      <c r="F727" s="68"/>
      <c r="G727" s="10"/>
      <c r="H727" s="68"/>
      <c r="I727" s="66" t="s">
        <v>245</v>
      </c>
      <c r="J727" s="63">
        <v>250000.0</v>
      </c>
    </row>
    <row r="728">
      <c r="A728" s="5">
        <v>243.0</v>
      </c>
      <c r="B728" s="59" t="s">
        <v>1156</v>
      </c>
      <c r="C728" s="59" t="s">
        <v>160</v>
      </c>
      <c r="D728" s="59" t="s">
        <v>1157</v>
      </c>
      <c r="E728" s="5" t="s">
        <v>734</v>
      </c>
      <c r="F728" s="61" t="s">
        <v>105</v>
      </c>
      <c r="G728" s="5">
        <v>8.571940144E10</v>
      </c>
      <c r="H728" s="61" t="s">
        <v>545</v>
      </c>
      <c r="I728" s="66" t="s">
        <v>190</v>
      </c>
      <c r="J728" s="63">
        <v>250000.0</v>
      </c>
    </row>
    <row r="729">
      <c r="A729" s="9"/>
      <c r="B729" s="41"/>
      <c r="C729" s="41"/>
      <c r="D729" s="41"/>
      <c r="E729" s="9"/>
      <c r="F729" s="40"/>
      <c r="G729" s="9"/>
      <c r="H729" s="40"/>
      <c r="I729" s="66" t="s">
        <v>468</v>
      </c>
      <c r="J729" s="63">
        <v>350000.0</v>
      </c>
    </row>
    <row r="730">
      <c r="A730" s="10"/>
      <c r="B730" s="41"/>
      <c r="C730" s="67"/>
      <c r="D730" s="67"/>
      <c r="E730" s="10"/>
      <c r="F730" s="68"/>
      <c r="G730" s="10"/>
      <c r="H730" s="68"/>
      <c r="I730" s="69" t="s">
        <v>245</v>
      </c>
      <c r="J730" s="65">
        <v>100000.0</v>
      </c>
    </row>
    <row r="731">
      <c r="A731" s="5">
        <v>244.0</v>
      </c>
      <c r="B731" s="5" t="s">
        <v>1158</v>
      </c>
      <c r="C731" s="5" t="s">
        <v>14</v>
      </c>
      <c r="D731" s="5">
        <v>2.585</v>
      </c>
      <c r="E731" s="5" t="s">
        <v>1159</v>
      </c>
      <c r="F731" s="5" t="s">
        <v>105</v>
      </c>
      <c r="G731" s="5">
        <v>8.127381003E9</v>
      </c>
      <c r="H731" s="18" t="s">
        <v>682</v>
      </c>
      <c r="I731" s="5" t="s">
        <v>1160</v>
      </c>
      <c r="J731" s="5" t="s">
        <v>83</v>
      </c>
    </row>
    <row r="732">
      <c r="A732" s="9"/>
      <c r="B732" s="9"/>
      <c r="C732" s="9"/>
      <c r="D732" s="9"/>
      <c r="E732" s="9"/>
      <c r="F732" s="9"/>
      <c r="G732" s="9"/>
      <c r="H732" s="19"/>
      <c r="I732" s="9"/>
      <c r="J732" s="9"/>
    </row>
    <row r="733">
      <c r="A733" s="10"/>
      <c r="B733" s="9"/>
      <c r="C733" s="10"/>
      <c r="D733" s="10"/>
      <c r="E733" s="10"/>
      <c r="F733" s="10"/>
      <c r="G733" s="10"/>
      <c r="H733" s="20"/>
      <c r="I733" s="10"/>
      <c r="J733" s="10"/>
    </row>
  </sheetData>
  <mergeCells count="1964">
    <mergeCell ref="B191:B193"/>
    <mergeCell ref="C191:C193"/>
    <mergeCell ref="D191:D193"/>
    <mergeCell ref="E191:E193"/>
    <mergeCell ref="F191:F193"/>
    <mergeCell ref="G191:G193"/>
    <mergeCell ref="H191:H193"/>
    <mergeCell ref="A191:A193"/>
    <mergeCell ref="A194:A196"/>
    <mergeCell ref="B194:B196"/>
    <mergeCell ref="C194:C196"/>
    <mergeCell ref="D194:D196"/>
    <mergeCell ref="E194:E196"/>
    <mergeCell ref="F194:F196"/>
    <mergeCell ref="F197:F199"/>
    <mergeCell ref="G197:G199"/>
    <mergeCell ref="G194:G196"/>
    <mergeCell ref="H194:H196"/>
    <mergeCell ref="B197:B199"/>
    <mergeCell ref="C197:C199"/>
    <mergeCell ref="D197:D199"/>
    <mergeCell ref="E197:E199"/>
    <mergeCell ref="H197:H199"/>
    <mergeCell ref="G200:G202"/>
    <mergeCell ref="H200:H202"/>
    <mergeCell ref="A197:A199"/>
    <mergeCell ref="A200:A202"/>
    <mergeCell ref="B200:B202"/>
    <mergeCell ref="C200:C202"/>
    <mergeCell ref="D200:D202"/>
    <mergeCell ref="E200:E202"/>
    <mergeCell ref="F200:F202"/>
    <mergeCell ref="B203:B205"/>
    <mergeCell ref="C203:C205"/>
    <mergeCell ref="D203:D205"/>
    <mergeCell ref="E203:E205"/>
    <mergeCell ref="F203:F205"/>
    <mergeCell ref="G203:G205"/>
    <mergeCell ref="H203:H205"/>
    <mergeCell ref="A203:A205"/>
    <mergeCell ref="A206:A208"/>
    <mergeCell ref="B206:B208"/>
    <mergeCell ref="C206:C208"/>
    <mergeCell ref="D206:D208"/>
    <mergeCell ref="E206:E208"/>
    <mergeCell ref="F206:F208"/>
    <mergeCell ref="F209:F211"/>
    <mergeCell ref="G209:G211"/>
    <mergeCell ref="G206:G208"/>
    <mergeCell ref="H206:H208"/>
    <mergeCell ref="B209:B211"/>
    <mergeCell ref="C209:C211"/>
    <mergeCell ref="D209:D211"/>
    <mergeCell ref="E209:E211"/>
    <mergeCell ref="H209:H211"/>
    <mergeCell ref="B215:B217"/>
    <mergeCell ref="C215:C217"/>
    <mergeCell ref="D215:D217"/>
    <mergeCell ref="E215:E217"/>
    <mergeCell ref="F215:F217"/>
    <mergeCell ref="G215:G217"/>
    <mergeCell ref="H215:H217"/>
    <mergeCell ref="I221:I223"/>
    <mergeCell ref="J221:J223"/>
    <mergeCell ref="A215:A217"/>
    <mergeCell ref="A218:A220"/>
    <mergeCell ref="B218:B220"/>
    <mergeCell ref="C218:C220"/>
    <mergeCell ref="D218:D220"/>
    <mergeCell ref="E218:E220"/>
    <mergeCell ref="F218:F220"/>
    <mergeCell ref="G218:G220"/>
    <mergeCell ref="H218:H220"/>
    <mergeCell ref="B221:B223"/>
    <mergeCell ref="C221:C223"/>
    <mergeCell ref="D221:D223"/>
    <mergeCell ref="E221:E223"/>
    <mergeCell ref="H221:H223"/>
    <mergeCell ref="F221:F223"/>
    <mergeCell ref="G221:G223"/>
    <mergeCell ref="I224:I226"/>
    <mergeCell ref="J224:J226"/>
    <mergeCell ref="I227:I229"/>
    <mergeCell ref="J227:J229"/>
    <mergeCell ref="J230:J232"/>
    <mergeCell ref="I248:I250"/>
    <mergeCell ref="J248:J250"/>
    <mergeCell ref="I251:I253"/>
    <mergeCell ref="J251:J253"/>
    <mergeCell ref="I230:I232"/>
    <mergeCell ref="I233:I235"/>
    <mergeCell ref="J233:J235"/>
    <mergeCell ref="I236:I238"/>
    <mergeCell ref="J236:J238"/>
    <mergeCell ref="I239:I241"/>
    <mergeCell ref="J239:J241"/>
    <mergeCell ref="G212:G214"/>
    <mergeCell ref="H212:H214"/>
    <mergeCell ref="A209:A211"/>
    <mergeCell ref="A212:A214"/>
    <mergeCell ref="B212:B214"/>
    <mergeCell ref="C212:C214"/>
    <mergeCell ref="D212:D214"/>
    <mergeCell ref="E212:E214"/>
    <mergeCell ref="F212:F214"/>
    <mergeCell ref="G224:G226"/>
    <mergeCell ref="H224:H226"/>
    <mergeCell ref="A221:A223"/>
    <mergeCell ref="A224:A226"/>
    <mergeCell ref="B224:B226"/>
    <mergeCell ref="C224:C226"/>
    <mergeCell ref="D224:D226"/>
    <mergeCell ref="E224:E226"/>
    <mergeCell ref="F224:F226"/>
    <mergeCell ref="B227:B229"/>
    <mergeCell ref="C227:C229"/>
    <mergeCell ref="D227:D229"/>
    <mergeCell ref="E227:E229"/>
    <mergeCell ref="F227:F229"/>
    <mergeCell ref="G227:G229"/>
    <mergeCell ref="H227:H229"/>
    <mergeCell ref="A227:A229"/>
    <mergeCell ref="A230:A232"/>
    <mergeCell ref="B230:B232"/>
    <mergeCell ref="C230:C232"/>
    <mergeCell ref="D230:D232"/>
    <mergeCell ref="E230:E232"/>
    <mergeCell ref="F230:F232"/>
    <mergeCell ref="F233:F235"/>
    <mergeCell ref="G233:G235"/>
    <mergeCell ref="G230:G232"/>
    <mergeCell ref="H230:H232"/>
    <mergeCell ref="B233:B235"/>
    <mergeCell ref="C233:C235"/>
    <mergeCell ref="D233:D235"/>
    <mergeCell ref="E233:E235"/>
    <mergeCell ref="H233:H235"/>
    <mergeCell ref="G236:G238"/>
    <mergeCell ref="H236:H238"/>
    <mergeCell ref="A233:A235"/>
    <mergeCell ref="A236:A238"/>
    <mergeCell ref="B236:B238"/>
    <mergeCell ref="C236:C238"/>
    <mergeCell ref="D236:D238"/>
    <mergeCell ref="E236:E238"/>
    <mergeCell ref="F236:F238"/>
    <mergeCell ref="B239:B241"/>
    <mergeCell ref="C239:C241"/>
    <mergeCell ref="D239:D241"/>
    <mergeCell ref="E239:E241"/>
    <mergeCell ref="F239:F241"/>
    <mergeCell ref="G239:G241"/>
    <mergeCell ref="H239:H241"/>
    <mergeCell ref="A239:A241"/>
    <mergeCell ref="A242:A244"/>
    <mergeCell ref="B242:B244"/>
    <mergeCell ref="C242:C244"/>
    <mergeCell ref="D242:D244"/>
    <mergeCell ref="E242:E244"/>
    <mergeCell ref="F242:F244"/>
    <mergeCell ref="F245:F247"/>
    <mergeCell ref="G245:G247"/>
    <mergeCell ref="G242:G244"/>
    <mergeCell ref="H242:H244"/>
    <mergeCell ref="B245:B247"/>
    <mergeCell ref="C245:C247"/>
    <mergeCell ref="D245:D247"/>
    <mergeCell ref="E245:E247"/>
    <mergeCell ref="H245:H247"/>
    <mergeCell ref="B11:B13"/>
    <mergeCell ref="C11:C13"/>
    <mergeCell ref="D11:D13"/>
    <mergeCell ref="E11:E13"/>
    <mergeCell ref="F11:F13"/>
    <mergeCell ref="G11:G13"/>
    <mergeCell ref="H11:H13"/>
    <mergeCell ref="A11:A13"/>
    <mergeCell ref="A14:A16"/>
    <mergeCell ref="B14:B16"/>
    <mergeCell ref="C14:C16"/>
    <mergeCell ref="D14:D16"/>
    <mergeCell ref="E14:E16"/>
    <mergeCell ref="F14:F16"/>
    <mergeCell ref="G2:G4"/>
    <mergeCell ref="H2:H4"/>
    <mergeCell ref="I1:J1"/>
    <mergeCell ref="A2:A4"/>
    <mergeCell ref="B2:B4"/>
    <mergeCell ref="C2:C4"/>
    <mergeCell ref="D2:D4"/>
    <mergeCell ref="E2:E4"/>
    <mergeCell ref="F2:F4"/>
    <mergeCell ref="B5:B7"/>
    <mergeCell ref="C5:C7"/>
    <mergeCell ref="D5:D7"/>
    <mergeCell ref="E5:E7"/>
    <mergeCell ref="F5:F7"/>
    <mergeCell ref="G5:G7"/>
    <mergeCell ref="H5:H7"/>
    <mergeCell ref="G8:G10"/>
    <mergeCell ref="H8:H10"/>
    <mergeCell ref="A5:A7"/>
    <mergeCell ref="A8:A10"/>
    <mergeCell ref="B8:B10"/>
    <mergeCell ref="C8:C10"/>
    <mergeCell ref="D8:D10"/>
    <mergeCell ref="E8:E10"/>
    <mergeCell ref="F8:F10"/>
    <mergeCell ref="G14:G16"/>
    <mergeCell ref="H14:H16"/>
    <mergeCell ref="G20:G22"/>
    <mergeCell ref="H20:H22"/>
    <mergeCell ref="B29:B31"/>
    <mergeCell ref="C29:C31"/>
    <mergeCell ref="D29:D31"/>
    <mergeCell ref="E29:E31"/>
    <mergeCell ref="F29:F31"/>
    <mergeCell ref="G29:G31"/>
    <mergeCell ref="H29:H31"/>
    <mergeCell ref="A29:A31"/>
    <mergeCell ref="A32:A34"/>
    <mergeCell ref="B32:B34"/>
    <mergeCell ref="C32:C34"/>
    <mergeCell ref="D32:D34"/>
    <mergeCell ref="E32:E34"/>
    <mergeCell ref="F32:F34"/>
    <mergeCell ref="B35:B37"/>
    <mergeCell ref="C35:C37"/>
    <mergeCell ref="D35:D37"/>
    <mergeCell ref="E35:E37"/>
    <mergeCell ref="F35:F37"/>
    <mergeCell ref="G35:G37"/>
    <mergeCell ref="H35:H37"/>
    <mergeCell ref="A35:A37"/>
    <mergeCell ref="A38:A40"/>
    <mergeCell ref="B38:B40"/>
    <mergeCell ref="C38:C40"/>
    <mergeCell ref="D38:D40"/>
    <mergeCell ref="E38:E40"/>
    <mergeCell ref="F38:F40"/>
    <mergeCell ref="F41:F43"/>
    <mergeCell ref="G41:G43"/>
    <mergeCell ref="G38:G40"/>
    <mergeCell ref="H38:H40"/>
    <mergeCell ref="B41:B43"/>
    <mergeCell ref="C41:C43"/>
    <mergeCell ref="D41:D43"/>
    <mergeCell ref="E41:E43"/>
    <mergeCell ref="H41:H43"/>
    <mergeCell ref="G44:G46"/>
    <mergeCell ref="H44:H46"/>
    <mergeCell ref="A41:A43"/>
    <mergeCell ref="A44:A46"/>
    <mergeCell ref="B44:B46"/>
    <mergeCell ref="C44:C46"/>
    <mergeCell ref="D44:D46"/>
    <mergeCell ref="E44:E46"/>
    <mergeCell ref="F44:F46"/>
    <mergeCell ref="F53:F55"/>
    <mergeCell ref="G53:G55"/>
    <mergeCell ref="G50:G52"/>
    <mergeCell ref="H50:H52"/>
    <mergeCell ref="B53:B55"/>
    <mergeCell ref="C53:C55"/>
    <mergeCell ref="D53:D55"/>
    <mergeCell ref="E53:E55"/>
    <mergeCell ref="H53:H55"/>
    <mergeCell ref="B47:B49"/>
    <mergeCell ref="C47:C49"/>
    <mergeCell ref="D47:D49"/>
    <mergeCell ref="E47:E49"/>
    <mergeCell ref="F47:F49"/>
    <mergeCell ref="G47:G49"/>
    <mergeCell ref="H47:H49"/>
    <mergeCell ref="A47:A49"/>
    <mergeCell ref="A50:A52"/>
    <mergeCell ref="B50:B52"/>
    <mergeCell ref="C50:C52"/>
    <mergeCell ref="D50:D52"/>
    <mergeCell ref="E50:E52"/>
    <mergeCell ref="F50:F52"/>
    <mergeCell ref="G56:G58"/>
    <mergeCell ref="H56:H58"/>
    <mergeCell ref="A53:A55"/>
    <mergeCell ref="A56:A58"/>
    <mergeCell ref="B56:B58"/>
    <mergeCell ref="C56:C58"/>
    <mergeCell ref="D56:D58"/>
    <mergeCell ref="E56:E58"/>
    <mergeCell ref="F56:F58"/>
    <mergeCell ref="B59:B61"/>
    <mergeCell ref="C59:C61"/>
    <mergeCell ref="D59:D61"/>
    <mergeCell ref="E59:E61"/>
    <mergeCell ref="F59:F61"/>
    <mergeCell ref="G59:G61"/>
    <mergeCell ref="H59:H61"/>
    <mergeCell ref="A59:A61"/>
    <mergeCell ref="A62:A64"/>
    <mergeCell ref="B62:B64"/>
    <mergeCell ref="C62:C64"/>
    <mergeCell ref="D62:D64"/>
    <mergeCell ref="E62:E64"/>
    <mergeCell ref="F62:F64"/>
    <mergeCell ref="F65:F67"/>
    <mergeCell ref="G65:G67"/>
    <mergeCell ref="G62:G64"/>
    <mergeCell ref="H62:H64"/>
    <mergeCell ref="B65:B67"/>
    <mergeCell ref="C65:C67"/>
    <mergeCell ref="D65:D67"/>
    <mergeCell ref="E65:E67"/>
    <mergeCell ref="H65:H67"/>
    <mergeCell ref="G68:G70"/>
    <mergeCell ref="H68:H70"/>
    <mergeCell ref="A65:A67"/>
    <mergeCell ref="A68:A70"/>
    <mergeCell ref="B68:B70"/>
    <mergeCell ref="C68:C70"/>
    <mergeCell ref="D68:D70"/>
    <mergeCell ref="E68:E70"/>
    <mergeCell ref="F68:F70"/>
    <mergeCell ref="B71:B73"/>
    <mergeCell ref="C71:C73"/>
    <mergeCell ref="D71:D73"/>
    <mergeCell ref="E71:E73"/>
    <mergeCell ref="F71:F73"/>
    <mergeCell ref="G71:G73"/>
    <mergeCell ref="H71:H73"/>
    <mergeCell ref="A71:A73"/>
    <mergeCell ref="A74:A76"/>
    <mergeCell ref="B74:B76"/>
    <mergeCell ref="C74:C76"/>
    <mergeCell ref="D74:D76"/>
    <mergeCell ref="E74:E76"/>
    <mergeCell ref="F74:F76"/>
    <mergeCell ref="F77:F79"/>
    <mergeCell ref="G77:G79"/>
    <mergeCell ref="G74:G76"/>
    <mergeCell ref="H74:H76"/>
    <mergeCell ref="B77:B79"/>
    <mergeCell ref="C77:C79"/>
    <mergeCell ref="D77:D79"/>
    <mergeCell ref="E77:E79"/>
    <mergeCell ref="H77:H79"/>
    <mergeCell ref="G80:G82"/>
    <mergeCell ref="H80:H82"/>
    <mergeCell ref="A77:A79"/>
    <mergeCell ref="A80:A82"/>
    <mergeCell ref="B80:B82"/>
    <mergeCell ref="C80:C82"/>
    <mergeCell ref="D80:D82"/>
    <mergeCell ref="E80:E82"/>
    <mergeCell ref="F80:F82"/>
    <mergeCell ref="B83:B85"/>
    <mergeCell ref="C83:C85"/>
    <mergeCell ref="D83:D85"/>
    <mergeCell ref="E83:E85"/>
    <mergeCell ref="F83:F85"/>
    <mergeCell ref="G83:G85"/>
    <mergeCell ref="H83:H85"/>
    <mergeCell ref="A83:A85"/>
    <mergeCell ref="A86:A88"/>
    <mergeCell ref="B86:B88"/>
    <mergeCell ref="C86:C88"/>
    <mergeCell ref="D86:D88"/>
    <mergeCell ref="E86:E88"/>
    <mergeCell ref="F86:F88"/>
    <mergeCell ref="F89:F91"/>
    <mergeCell ref="G89:G91"/>
    <mergeCell ref="G86:G88"/>
    <mergeCell ref="H86:H88"/>
    <mergeCell ref="B89:B91"/>
    <mergeCell ref="C89:C91"/>
    <mergeCell ref="D89:D91"/>
    <mergeCell ref="E89:E91"/>
    <mergeCell ref="H89:H91"/>
    <mergeCell ref="G92:G94"/>
    <mergeCell ref="H92:H94"/>
    <mergeCell ref="A89:A91"/>
    <mergeCell ref="A92:A94"/>
    <mergeCell ref="B92:B94"/>
    <mergeCell ref="C92:C94"/>
    <mergeCell ref="D92:D94"/>
    <mergeCell ref="E92:E94"/>
    <mergeCell ref="F92:F94"/>
    <mergeCell ref="B95:B97"/>
    <mergeCell ref="C95:C97"/>
    <mergeCell ref="D95:D97"/>
    <mergeCell ref="E95:E97"/>
    <mergeCell ref="F95:F97"/>
    <mergeCell ref="G95:G97"/>
    <mergeCell ref="H95:H97"/>
    <mergeCell ref="A95:A97"/>
    <mergeCell ref="A98:A100"/>
    <mergeCell ref="B98:B100"/>
    <mergeCell ref="C98:C100"/>
    <mergeCell ref="D98:D100"/>
    <mergeCell ref="E98:E100"/>
    <mergeCell ref="F98:F100"/>
    <mergeCell ref="F101:F103"/>
    <mergeCell ref="G101:G103"/>
    <mergeCell ref="G98:G100"/>
    <mergeCell ref="H98:H100"/>
    <mergeCell ref="B101:B103"/>
    <mergeCell ref="C101:C103"/>
    <mergeCell ref="D101:D103"/>
    <mergeCell ref="E101:E103"/>
    <mergeCell ref="H101:H103"/>
    <mergeCell ref="G104:G106"/>
    <mergeCell ref="H104:H106"/>
    <mergeCell ref="A101:A103"/>
    <mergeCell ref="A104:A106"/>
    <mergeCell ref="B104:B106"/>
    <mergeCell ref="C104:C106"/>
    <mergeCell ref="D104:D106"/>
    <mergeCell ref="E104:E106"/>
    <mergeCell ref="F104:F106"/>
    <mergeCell ref="B107:B109"/>
    <mergeCell ref="C107:C109"/>
    <mergeCell ref="D107:D109"/>
    <mergeCell ref="E107:E109"/>
    <mergeCell ref="F107:F109"/>
    <mergeCell ref="G107:G109"/>
    <mergeCell ref="H107:H109"/>
    <mergeCell ref="A107:A109"/>
    <mergeCell ref="A110:A112"/>
    <mergeCell ref="B110:B112"/>
    <mergeCell ref="C110:C112"/>
    <mergeCell ref="D110:D112"/>
    <mergeCell ref="E110:E112"/>
    <mergeCell ref="F110:F112"/>
    <mergeCell ref="F113:F115"/>
    <mergeCell ref="G113:G115"/>
    <mergeCell ref="G110:G112"/>
    <mergeCell ref="H110:H112"/>
    <mergeCell ref="B113:B115"/>
    <mergeCell ref="C113:C115"/>
    <mergeCell ref="D113:D115"/>
    <mergeCell ref="E113:E115"/>
    <mergeCell ref="H113:H115"/>
    <mergeCell ref="G116:G118"/>
    <mergeCell ref="H116:H118"/>
    <mergeCell ref="A113:A115"/>
    <mergeCell ref="A116:A118"/>
    <mergeCell ref="B116:B118"/>
    <mergeCell ref="C116:C118"/>
    <mergeCell ref="D116:D118"/>
    <mergeCell ref="E116:E118"/>
    <mergeCell ref="F116:F118"/>
    <mergeCell ref="B119:B121"/>
    <mergeCell ref="C119:C121"/>
    <mergeCell ref="D119:D121"/>
    <mergeCell ref="E119:E121"/>
    <mergeCell ref="F119:F121"/>
    <mergeCell ref="G119:G121"/>
    <mergeCell ref="H119:H121"/>
    <mergeCell ref="A119:A121"/>
    <mergeCell ref="A122:A124"/>
    <mergeCell ref="B122:B124"/>
    <mergeCell ref="C122:C124"/>
    <mergeCell ref="D122:D124"/>
    <mergeCell ref="E122:E124"/>
    <mergeCell ref="F122:F124"/>
    <mergeCell ref="F125:F127"/>
    <mergeCell ref="G125:G127"/>
    <mergeCell ref="G122:G124"/>
    <mergeCell ref="H122:H124"/>
    <mergeCell ref="B125:B127"/>
    <mergeCell ref="C125:C127"/>
    <mergeCell ref="D125:D127"/>
    <mergeCell ref="E125:E127"/>
    <mergeCell ref="H125:H127"/>
    <mergeCell ref="G128:G130"/>
    <mergeCell ref="H128:H130"/>
    <mergeCell ref="A125:A127"/>
    <mergeCell ref="A128:A130"/>
    <mergeCell ref="B128:B130"/>
    <mergeCell ref="C128:C130"/>
    <mergeCell ref="D128:D130"/>
    <mergeCell ref="E128:E130"/>
    <mergeCell ref="F128:F130"/>
    <mergeCell ref="F137:F139"/>
    <mergeCell ref="G137:G139"/>
    <mergeCell ref="G134:G136"/>
    <mergeCell ref="H134:H136"/>
    <mergeCell ref="B137:B139"/>
    <mergeCell ref="C137:C139"/>
    <mergeCell ref="D137:D139"/>
    <mergeCell ref="E137:E139"/>
    <mergeCell ref="H137:H139"/>
    <mergeCell ref="B131:B133"/>
    <mergeCell ref="C131:C133"/>
    <mergeCell ref="D131:D133"/>
    <mergeCell ref="E131:E133"/>
    <mergeCell ref="F131:F133"/>
    <mergeCell ref="G131:G133"/>
    <mergeCell ref="H131:H133"/>
    <mergeCell ref="A131:A133"/>
    <mergeCell ref="A134:A136"/>
    <mergeCell ref="B134:B136"/>
    <mergeCell ref="C134:C136"/>
    <mergeCell ref="D134:D136"/>
    <mergeCell ref="E134:E136"/>
    <mergeCell ref="F134:F136"/>
    <mergeCell ref="G140:G142"/>
    <mergeCell ref="H140:H142"/>
    <mergeCell ref="A137:A139"/>
    <mergeCell ref="A140:A142"/>
    <mergeCell ref="B140:B142"/>
    <mergeCell ref="C140:C142"/>
    <mergeCell ref="D140:D142"/>
    <mergeCell ref="E140:E142"/>
    <mergeCell ref="F140:F142"/>
    <mergeCell ref="B143:B145"/>
    <mergeCell ref="C143:C145"/>
    <mergeCell ref="D143:D145"/>
    <mergeCell ref="E143:E145"/>
    <mergeCell ref="F143:F145"/>
    <mergeCell ref="G143:G145"/>
    <mergeCell ref="H143:H145"/>
    <mergeCell ref="A143:A145"/>
    <mergeCell ref="A146:A148"/>
    <mergeCell ref="B146:B148"/>
    <mergeCell ref="C146:C148"/>
    <mergeCell ref="D146:D148"/>
    <mergeCell ref="E146:E148"/>
    <mergeCell ref="F146:F148"/>
    <mergeCell ref="F149:F151"/>
    <mergeCell ref="G149:G151"/>
    <mergeCell ref="G146:G148"/>
    <mergeCell ref="H146:H148"/>
    <mergeCell ref="B149:B151"/>
    <mergeCell ref="C149:C151"/>
    <mergeCell ref="D149:D151"/>
    <mergeCell ref="E149:E151"/>
    <mergeCell ref="H149:H151"/>
    <mergeCell ref="G152:G154"/>
    <mergeCell ref="H152:H154"/>
    <mergeCell ref="A149:A151"/>
    <mergeCell ref="A152:A154"/>
    <mergeCell ref="B152:B154"/>
    <mergeCell ref="C152:C154"/>
    <mergeCell ref="D152:D154"/>
    <mergeCell ref="E152:E154"/>
    <mergeCell ref="F152:F154"/>
    <mergeCell ref="B155:B157"/>
    <mergeCell ref="C155:C157"/>
    <mergeCell ref="D155:D157"/>
    <mergeCell ref="E155:E157"/>
    <mergeCell ref="F155:F157"/>
    <mergeCell ref="G155:G157"/>
    <mergeCell ref="H155:H157"/>
    <mergeCell ref="A155:A157"/>
    <mergeCell ref="A158:A160"/>
    <mergeCell ref="B158:B160"/>
    <mergeCell ref="C158:C160"/>
    <mergeCell ref="D158:D160"/>
    <mergeCell ref="E158:E160"/>
    <mergeCell ref="F158:F160"/>
    <mergeCell ref="F161:F163"/>
    <mergeCell ref="G161:G163"/>
    <mergeCell ref="G158:G160"/>
    <mergeCell ref="H158:H160"/>
    <mergeCell ref="B161:B163"/>
    <mergeCell ref="C161:C163"/>
    <mergeCell ref="D161:D163"/>
    <mergeCell ref="E161:E163"/>
    <mergeCell ref="H161:H163"/>
    <mergeCell ref="G164:G166"/>
    <mergeCell ref="H164:H166"/>
    <mergeCell ref="A161:A163"/>
    <mergeCell ref="A164:A166"/>
    <mergeCell ref="B164:B166"/>
    <mergeCell ref="C164:C166"/>
    <mergeCell ref="D164:D166"/>
    <mergeCell ref="E164:E166"/>
    <mergeCell ref="F164:F166"/>
    <mergeCell ref="B167:B169"/>
    <mergeCell ref="C167:C169"/>
    <mergeCell ref="D167:D169"/>
    <mergeCell ref="E167:E169"/>
    <mergeCell ref="F167:F169"/>
    <mergeCell ref="G167:G169"/>
    <mergeCell ref="H167:H169"/>
    <mergeCell ref="A167:A169"/>
    <mergeCell ref="A170:A172"/>
    <mergeCell ref="B170:B172"/>
    <mergeCell ref="C170:C172"/>
    <mergeCell ref="D170:D172"/>
    <mergeCell ref="E170:E172"/>
    <mergeCell ref="F170:F172"/>
    <mergeCell ref="F173:F175"/>
    <mergeCell ref="G173:G175"/>
    <mergeCell ref="G170:G172"/>
    <mergeCell ref="H170:H172"/>
    <mergeCell ref="B173:B175"/>
    <mergeCell ref="C173:C175"/>
    <mergeCell ref="D173:D175"/>
    <mergeCell ref="E173:E175"/>
    <mergeCell ref="H173:H175"/>
    <mergeCell ref="G176:G178"/>
    <mergeCell ref="H176:H178"/>
    <mergeCell ref="A173:A175"/>
    <mergeCell ref="A176:A178"/>
    <mergeCell ref="B176:B178"/>
    <mergeCell ref="C176:C178"/>
    <mergeCell ref="D176:D178"/>
    <mergeCell ref="E176:E178"/>
    <mergeCell ref="F176:F178"/>
    <mergeCell ref="B179:B181"/>
    <mergeCell ref="C179:C181"/>
    <mergeCell ref="D179:D181"/>
    <mergeCell ref="E179:E181"/>
    <mergeCell ref="F179:F181"/>
    <mergeCell ref="G179:G181"/>
    <mergeCell ref="H179:H181"/>
    <mergeCell ref="A179:A181"/>
    <mergeCell ref="A182:A184"/>
    <mergeCell ref="B182:B184"/>
    <mergeCell ref="C182:C184"/>
    <mergeCell ref="D182:D184"/>
    <mergeCell ref="E182:E184"/>
    <mergeCell ref="F182:F184"/>
    <mergeCell ref="F185:F187"/>
    <mergeCell ref="G185:G187"/>
    <mergeCell ref="G182:G184"/>
    <mergeCell ref="H182:H184"/>
    <mergeCell ref="B185:B187"/>
    <mergeCell ref="C185:C187"/>
    <mergeCell ref="D185:D187"/>
    <mergeCell ref="E185:E187"/>
    <mergeCell ref="H185:H187"/>
    <mergeCell ref="G188:G190"/>
    <mergeCell ref="H188:H190"/>
    <mergeCell ref="A185:A187"/>
    <mergeCell ref="A188:A190"/>
    <mergeCell ref="B188:B190"/>
    <mergeCell ref="C188:C190"/>
    <mergeCell ref="D188:D190"/>
    <mergeCell ref="E188:E190"/>
    <mergeCell ref="F188:F190"/>
    <mergeCell ref="A245:A247"/>
    <mergeCell ref="B248:B250"/>
    <mergeCell ref="C248:C250"/>
    <mergeCell ref="D248:D250"/>
    <mergeCell ref="E248:E250"/>
    <mergeCell ref="F248:G250"/>
    <mergeCell ref="H248:H250"/>
    <mergeCell ref="A248:A250"/>
    <mergeCell ref="B251:B253"/>
    <mergeCell ref="C251:C253"/>
    <mergeCell ref="D251:D253"/>
    <mergeCell ref="E251:E253"/>
    <mergeCell ref="F251:G253"/>
    <mergeCell ref="H251:H253"/>
    <mergeCell ref="A251:A253"/>
    <mergeCell ref="B254:B256"/>
    <mergeCell ref="C254:C256"/>
    <mergeCell ref="D254:D256"/>
    <mergeCell ref="E254:E256"/>
    <mergeCell ref="F254:G256"/>
    <mergeCell ref="H254:H256"/>
    <mergeCell ref="I263:I265"/>
    <mergeCell ref="J263:J265"/>
    <mergeCell ref="I266:I268"/>
    <mergeCell ref="J266:J268"/>
    <mergeCell ref="I269:I271"/>
    <mergeCell ref="J269:J271"/>
    <mergeCell ref="A254:A256"/>
    <mergeCell ref="B257:B259"/>
    <mergeCell ref="C257:C259"/>
    <mergeCell ref="D257:D259"/>
    <mergeCell ref="E257:E259"/>
    <mergeCell ref="F257:G259"/>
    <mergeCell ref="H257:H259"/>
    <mergeCell ref="A257:A259"/>
    <mergeCell ref="B260:B262"/>
    <mergeCell ref="C260:C262"/>
    <mergeCell ref="D260:D262"/>
    <mergeCell ref="E260:E262"/>
    <mergeCell ref="F260:G262"/>
    <mergeCell ref="H260:H262"/>
    <mergeCell ref="A260:A262"/>
    <mergeCell ref="B263:B265"/>
    <mergeCell ref="C263:C265"/>
    <mergeCell ref="D263:D265"/>
    <mergeCell ref="E263:E265"/>
    <mergeCell ref="F263:G265"/>
    <mergeCell ref="H263:H265"/>
    <mergeCell ref="A263:A265"/>
    <mergeCell ref="B266:B268"/>
    <mergeCell ref="C266:C268"/>
    <mergeCell ref="D266:D268"/>
    <mergeCell ref="E266:E268"/>
    <mergeCell ref="F266:G268"/>
    <mergeCell ref="H266:H268"/>
    <mergeCell ref="A266:A268"/>
    <mergeCell ref="B269:B271"/>
    <mergeCell ref="C269:C271"/>
    <mergeCell ref="D269:D271"/>
    <mergeCell ref="E269:E271"/>
    <mergeCell ref="F269:G271"/>
    <mergeCell ref="H269:H271"/>
    <mergeCell ref="A269:A271"/>
    <mergeCell ref="B272:B274"/>
    <mergeCell ref="C272:C274"/>
    <mergeCell ref="D272:D274"/>
    <mergeCell ref="E272:E274"/>
    <mergeCell ref="F272:G274"/>
    <mergeCell ref="H272:H274"/>
    <mergeCell ref="I278:I280"/>
    <mergeCell ref="J278:J280"/>
    <mergeCell ref="A272:A274"/>
    <mergeCell ref="A275:A277"/>
    <mergeCell ref="B275:B277"/>
    <mergeCell ref="C275:C277"/>
    <mergeCell ref="D275:D277"/>
    <mergeCell ref="E275:E277"/>
    <mergeCell ref="F275:F277"/>
    <mergeCell ref="F278:G280"/>
    <mergeCell ref="H278:H280"/>
    <mergeCell ref="G275:G277"/>
    <mergeCell ref="H275:H277"/>
    <mergeCell ref="A278:A280"/>
    <mergeCell ref="B278:B280"/>
    <mergeCell ref="C278:C280"/>
    <mergeCell ref="D278:D280"/>
    <mergeCell ref="E278:E280"/>
    <mergeCell ref="F290:F292"/>
    <mergeCell ref="G290:G292"/>
    <mergeCell ref="G284:G289"/>
    <mergeCell ref="H284:H289"/>
    <mergeCell ref="B290:B292"/>
    <mergeCell ref="C290:C292"/>
    <mergeCell ref="D290:D292"/>
    <mergeCell ref="E290:E292"/>
    <mergeCell ref="H290:H292"/>
    <mergeCell ref="G293:G295"/>
    <mergeCell ref="H293:H295"/>
    <mergeCell ref="A290:A292"/>
    <mergeCell ref="A293:A295"/>
    <mergeCell ref="B293:B295"/>
    <mergeCell ref="C293:C295"/>
    <mergeCell ref="D293:D295"/>
    <mergeCell ref="E293:E295"/>
    <mergeCell ref="F293:F295"/>
    <mergeCell ref="B296:B298"/>
    <mergeCell ref="C296:C298"/>
    <mergeCell ref="D296:D298"/>
    <mergeCell ref="E296:E298"/>
    <mergeCell ref="F296:F298"/>
    <mergeCell ref="G296:G298"/>
    <mergeCell ref="H296:H298"/>
    <mergeCell ref="A296:A298"/>
    <mergeCell ref="A299:A301"/>
    <mergeCell ref="B299:B301"/>
    <mergeCell ref="C299:C301"/>
    <mergeCell ref="D299:D301"/>
    <mergeCell ref="E299:E301"/>
    <mergeCell ref="F299:F301"/>
    <mergeCell ref="F302:F304"/>
    <mergeCell ref="G302:G304"/>
    <mergeCell ref="G299:G301"/>
    <mergeCell ref="H299:H301"/>
    <mergeCell ref="B302:B304"/>
    <mergeCell ref="C302:C304"/>
    <mergeCell ref="D302:D304"/>
    <mergeCell ref="E302:E304"/>
    <mergeCell ref="H302:H304"/>
    <mergeCell ref="G305:G307"/>
    <mergeCell ref="H305:H307"/>
    <mergeCell ref="A302:A304"/>
    <mergeCell ref="A305:A307"/>
    <mergeCell ref="B305:B307"/>
    <mergeCell ref="C305:C307"/>
    <mergeCell ref="D305:D307"/>
    <mergeCell ref="E305:E307"/>
    <mergeCell ref="F305:F307"/>
    <mergeCell ref="B308:B310"/>
    <mergeCell ref="C308:C310"/>
    <mergeCell ref="D308:D310"/>
    <mergeCell ref="E308:E310"/>
    <mergeCell ref="F308:F310"/>
    <mergeCell ref="G308:G310"/>
    <mergeCell ref="H308:H310"/>
    <mergeCell ref="A308:A310"/>
    <mergeCell ref="A311:A313"/>
    <mergeCell ref="B311:B313"/>
    <mergeCell ref="C311:C313"/>
    <mergeCell ref="D311:D313"/>
    <mergeCell ref="E311:E313"/>
    <mergeCell ref="F311:F313"/>
    <mergeCell ref="F314:F316"/>
    <mergeCell ref="G314:G316"/>
    <mergeCell ref="G311:G313"/>
    <mergeCell ref="H311:H313"/>
    <mergeCell ref="B314:B316"/>
    <mergeCell ref="C314:C316"/>
    <mergeCell ref="D314:D316"/>
    <mergeCell ref="E314:E316"/>
    <mergeCell ref="H314:H316"/>
    <mergeCell ref="G317:G319"/>
    <mergeCell ref="H317:H319"/>
    <mergeCell ref="A314:A316"/>
    <mergeCell ref="A317:A319"/>
    <mergeCell ref="B317:B319"/>
    <mergeCell ref="C317:C319"/>
    <mergeCell ref="D317:D319"/>
    <mergeCell ref="E317:E319"/>
    <mergeCell ref="F317:F319"/>
    <mergeCell ref="B281:B283"/>
    <mergeCell ref="C281:C283"/>
    <mergeCell ref="D281:D283"/>
    <mergeCell ref="E281:E283"/>
    <mergeCell ref="F281:F283"/>
    <mergeCell ref="G281:G283"/>
    <mergeCell ref="H281:H283"/>
    <mergeCell ref="A281:A283"/>
    <mergeCell ref="A284:A286"/>
    <mergeCell ref="B284:B289"/>
    <mergeCell ref="C284:C289"/>
    <mergeCell ref="D284:D289"/>
    <mergeCell ref="E284:E289"/>
    <mergeCell ref="F284:F289"/>
    <mergeCell ref="A287:A289"/>
    <mergeCell ref="B17:B19"/>
    <mergeCell ref="C17:C19"/>
    <mergeCell ref="D17:D19"/>
    <mergeCell ref="E17:E19"/>
    <mergeCell ref="F17:F19"/>
    <mergeCell ref="G17:G19"/>
    <mergeCell ref="H17:H19"/>
    <mergeCell ref="A17:A19"/>
    <mergeCell ref="A20:A22"/>
    <mergeCell ref="B20:B22"/>
    <mergeCell ref="C20:C22"/>
    <mergeCell ref="D20:D22"/>
    <mergeCell ref="E20:E22"/>
    <mergeCell ref="F20:F22"/>
    <mergeCell ref="B23:B25"/>
    <mergeCell ref="C23:C25"/>
    <mergeCell ref="D23:D25"/>
    <mergeCell ref="E23:E25"/>
    <mergeCell ref="F23:F25"/>
    <mergeCell ref="G23:G25"/>
    <mergeCell ref="H23:H25"/>
    <mergeCell ref="G26:G28"/>
    <mergeCell ref="H26:H28"/>
    <mergeCell ref="A23:A25"/>
    <mergeCell ref="A26:A28"/>
    <mergeCell ref="B26:B28"/>
    <mergeCell ref="C26:C28"/>
    <mergeCell ref="D26:D28"/>
    <mergeCell ref="E26:E28"/>
    <mergeCell ref="F26:F28"/>
    <mergeCell ref="G32:G34"/>
    <mergeCell ref="H32:H34"/>
    <mergeCell ref="G347:G349"/>
    <mergeCell ref="H347:H349"/>
    <mergeCell ref="B320:B322"/>
    <mergeCell ref="C320:C322"/>
    <mergeCell ref="D320:D322"/>
    <mergeCell ref="E320:E322"/>
    <mergeCell ref="F320:F322"/>
    <mergeCell ref="G320:G322"/>
    <mergeCell ref="H320:H322"/>
    <mergeCell ref="A320:A322"/>
    <mergeCell ref="A323:A325"/>
    <mergeCell ref="B323:B325"/>
    <mergeCell ref="C323:C325"/>
    <mergeCell ref="D323:D325"/>
    <mergeCell ref="E323:E325"/>
    <mergeCell ref="F323:F325"/>
    <mergeCell ref="F326:F328"/>
    <mergeCell ref="G326:G328"/>
    <mergeCell ref="G323:G325"/>
    <mergeCell ref="H323:H325"/>
    <mergeCell ref="B326:B328"/>
    <mergeCell ref="C326:C328"/>
    <mergeCell ref="D326:D328"/>
    <mergeCell ref="E326:E328"/>
    <mergeCell ref="H326:H328"/>
    <mergeCell ref="G329:G331"/>
    <mergeCell ref="H329:H331"/>
    <mergeCell ref="A326:A328"/>
    <mergeCell ref="A329:A331"/>
    <mergeCell ref="B329:B331"/>
    <mergeCell ref="C329:C331"/>
    <mergeCell ref="D329:D331"/>
    <mergeCell ref="E329:E331"/>
    <mergeCell ref="F329:F331"/>
    <mergeCell ref="B332:B334"/>
    <mergeCell ref="C332:C334"/>
    <mergeCell ref="D332:D334"/>
    <mergeCell ref="E332:E334"/>
    <mergeCell ref="F332:F334"/>
    <mergeCell ref="G332:G334"/>
    <mergeCell ref="H332:H334"/>
    <mergeCell ref="A332:A334"/>
    <mergeCell ref="A335:A337"/>
    <mergeCell ref="B335:B337"/>
    <mergeCell ref="C335:C337"/>
    <mergeCell ref="D335:D337"/>
    <mergeCell ref="E335:E337"/>
    <mergeCell ref="F335:F337"/>
    <mergeCell ref="F338:F340"/>
    <mergeCell ref="G338:G340"/>
    <mergeCell ref="G335:G337"/>
    <mergeCell ref="H335:H337"/>
    <mergeCell ref="B338:B340"/>
    <mergeCell ref="C338:C340"/>
    <mergeCell ref="D338:D340"/>
    <mergeCell ref="E338:E340"/>
    <mergeCell ref="H338:H340"/>
    <mergeCell ref="G341:G343"/>
    <mergeCell ref="H341:H343"/>
    <mergeCell ref="A338:A340"/>
    <mergeCell ref="A341:A343"/>
    <mergeCell ref="B341:B343"/>
    <mergeCell ref="C341:C343"/>
    <mergeCell ref="D341:D343"/>
    <mergeCell ref="E341:E343"/>
    <mergeCell ref="F341:F343"/>
    <mergeCell ref="B356:B358"/>
    <mergeCell ref="C356:C358"/>
    <mergeCell ref="D356:D358"/>
    <mergeCell ref="E356:E358"/>
    <mergeCell ref="F356:F358"/>
    <mergeCell ref="G356:G358"/>
    <mergeCell ref="H356:H358"/>
    <mergeCell ref="A356:A358"/>
    <mergeCell ref="A359:A361"/>
    <mergeCell ref="B359:B361"/>
    <mergeCell ref="C359:C361"/>
    <mergeCell ref="D359:D361"/>
    <mergeCell ref="E359:E361"/>
    <mergeCell ref="F359:F361"/>
    <mergeCell ref="B362:B364"/>
    <mergeCell ref="C362:C364"/>
    <mergeCell ref="D362:D364"/>
    <mergeCell ref="E362:E364"/>
    <mergeCell ref="F362:F364"/>
    <mergeCell ref="G362:G364"/>
    <mergeCell ref="H362:H364"/>
    <mergeCell ref="A362:A364"/>
    <mergeCell ref="A365:A367"/>
    <mergeCell ref="B365:B367"/>
    <mergeCell ref="C365:C367"/>
    <mergeCell ref="D365:D367"/>
    <mergeCell ref="E365:E367"/>
    <mergeCell ref="F365:F367"/>
    <mergeCell ref="F368:F370"/>
    <mergeCell ref="G368:G370"/>
    <mergeCell ref="G365:G367"/>
    <mergeCell ref="H365:H367"/>
    <mergeCell ref="B368:B370"/>
    <mergeCell ref="C368:C370"/>
    <mergeCell ref="D368:D370"/>
    <mergeCell ref="E368:E370"/>
    <mergeCell ref="H368:H370"/>
    <mergeCell ref="G371:G373"/>
    <mergeCell ref="H371:H373"/>
    <mergeCell ref="A368:A370"/>
    <mergeCell ref="A371:A373"/>
    <mergeCell ref="B371:B373"/>
    <mergeCell ref="C371:C373"/>
    <mergeCell ref="D371:D373"/>
    <mergeCell ref="E371:E373"/>
    <mergeCell ref="F371:F373"/>
    <mergeCell ref="B374:B376"/>
    <mergeCell ref="C374:C376"/>
    <mergeCell ref="D374:D376"/>
    <mergeCell ref="E374:E376"/>
    <mergeCell ref="F374:F376"/>
    <mergeCell ref="G374:G376"/>
    <mergeCell ref="H374:H376"/>
    <mergeCell ref="A374:A376"/>
    <mergeCell ref="A377:A379"/>
    <mergeCell ref="B377:B379"/>
    <mergeCell ref="C377:C379"/>
    <mergeCell ref="D377:D379"/>
    <mergeCell ref="E377:E379"/>
    <mergeCell ref="F377:F379"/>
    <mergeCell ref="F380:F382"/>
    <mergeCell ref="G380:G382"/>
    <mergeCell ref="G377:G379"/>
    <mergeCell ref="H377:H379"/>
    <mergeCell ref="B380:B382"/>
    <mergeCell ref="C380:C382"/>
    <mergeCell ref="D380:D382"/>
    <mergeCell ref="E380:E382"/>
    <mergeCell ref="H380:H382"/>
    <mergeCell ref="G383:G385"/>
    <mergeCell ref="H383:H385"/>
    <mergeCell ref="A380:A382"/>
    <mergeCell ref="A383:A385"/>
    <mergeCell ref="B383:B385"/>
    <mergeCell ref="C383:C385"/>
    <mergeCell ref="D383:D385"/>
    <mergeCell ref="E383:E385"/>
    <mergeCell ref="F383:F385"/>
    <mergeCell ref="F392:F394"/>
    <mergeCell ref="G392:G394"/>
    <mergeCell ref="G389:G391"/>
    <mergeCell ref="H389:H391"/>
    <mergeCell ref="B392:B394"/>
    <mergeCell ref="C392:C394"/>
    <mergeCell ref="D392:D394"/>
    <mergeCell ref="E392:E394"/>
    <mergeCell ref="H392:H394"/>
    <mergeCell ref="B386:B388"/>
    <mergeCell ref="C386:C388"/>
    <mergeCell ref="D386:D388"/>
    <mergeCell ref="E386:E388"/>
    <mergeCell ref="F386:F388"/>
    <mergeCell ref="G386:G388"/>
    <mergeCell ref="H386:H388"/>
    <mergeCell ref="A386:A388"/>
    <mergeCell ref="A389:A391"/>
    <mergeCell ref="B389:B391"/>
    <mergeCell ref="C389:C391"/>
    <mergeCell ref="D389:D391"/>
    <mergeCell ref="E389:E391"/>
    <mergeCell ref="F389:F391"/>
    <mergeCell ref="G395:G397"/>
    <mergeCell ref="H395:H397"/>
    <mergeCell ref="A392:A394"/>
    <mergeCell ref="A395:A397"/>
    <mergeCell ref="B395:B397"/>
    <mergeCell ref="C395:C397"/>
    <mergeCell ref="D395:D397"/>
    <mergeCell ref="E395:E397"/>
    <mergeCell ref="F395:F397"/>
    <mergeCell ref="B398:B400"/>
    <mergeCell ref="C398:C400"/>
    <mergeCell ref="D398:D400"/>
    <mergeCell ref="E398:E400"/>
    <mergeCell ref="F398:F400"/>
    <mergeCell ref="G398:G400"/>
    <mergeCell ref="H398:H400"/>
    <mergeCell ref="A398:A400"/>
    <mergeCell ref="A401:A403"/>
    <mergeCell ref="B401:B403"/>
    <mergeCell ref="C401:C403"/>
    <mergeCell ref="D401:D403"/>
    <mergeCell ref="E401:E403"/>
    <mergeCell ref="F401:F403"/>
    <mergeCell ref="F404:F406"/>
    <mergeCell ref="G404:G406"/>
    <mergeCell ref="G401:G403"/>
    <mergeCell ref="H401:H403"/>
    <mergeCell ref="B404:B406"/>
    <mergeCell ref="C404:C406"/>
    <mergeCell ref="D404:D406"/>
    <mergeCell ref="E404:E406"/>
    <mergeCell ref="H404:H406"/>
    <mergeCell ref="G407:G409"/>
    <mergeCell ref="H407:H409"/>
    <mergeCell ref="A404:A406"/>
    <mergeCell ref="A407:A409"/>
    <mergeCell ref="B407:B409"/>
    <mergeCell ref="C407:C409"/>
    <mergeCell ref="D407:D409"/>
    <mergeCell ref="E407:E409"/>
    <mergeCell ref="F407:F409"/>
    <mergeCell ref="B410:B412"/>
    <mergeCell ref="C410:C412"/>
    <mergeCell ref="D410:D412"/>
    <mergeCell ref="E410:E412"/>
    <mergeCell ref="F410:F412"/>
    <mergeCell ref="G410:G412"/>
    <mergeCell ref="H410:H412"/>
    <mergeCell ref="A410:A412"/>
    <mergeCell ref="A413:A415"/>
    <mergeCell ref="B413:B415"/>
    <mergeCell ref="C413:C415"/>
    <mergeCell ref="D413:D415"/>
    <mergeCell ref="E413:E415"/>
    <mergeCell ref="F413:F415"/>
    <mergeCell ref="F416:F418"/>
    <mergeCell ref="G416:G418"/>
    <mergeCell ref="G413:G415"/>
    <mergeCell ref="H413:H415"/>
    <mergeCell ref="B416:B418"/>
    <mergeCell ref="C416:C418"/>
    <mergeCell ref="D416:D418"/>
    <mergeCell ref="E416:E418"/>
    <mergeCell ref="H416:H418"/>
    <mergeCell ref="G419:G421"/>
    <mergeCell ref="H419:H421"/>
    <mergeCell ref="A416:A418"/>
    <mergeCell ref="A419:A421"/>
    <mergeCell ref="B419:B421"/>
    <mergeCell ref="C419:C421"/>
    <mergeCell ref="D419:D421"/>
    <mergeCell ref="E419:E421"/>
    <mergeCell ref="F419:F421"/>
    <mergeCell ref="B422:B424"/>
    <mergeCell ref="C422:C424"/>
    <mergeCell ref="D422:D424"/>
    <mergeCell ref="E422:E424"/>
    <mergeCell ref="F422:F424"/>
    <mergeCell ref="G422:G424"/>
    <mergeCell ref="H422:H424"/>
    <mergeCell ref="A422:A424"/>
    <mergeCell ref="A425:A427"/>
    <mergeCell ref="B425:B427"/>
    <mergeCell ref="C425:C427"/>
    <mergeCell ref="D425:D427"/>
    <mergeCell ref="E425:E427"/>
    <mergeCell ref="F425:F427"/>
    <mergeCell ref="F428:F430"/>
    <mergeCell ref="G428:G430"/>
    <mergeCell ref="G425:G427"/>
    <mergeCell ref="H425:H427"/>
    <mergeCell ref="B428:B430"/>
    <mergeCell ref="C428:C430"/>
    <mergeCell ref="D428:D430"/>
    <mergeCell ref="E428:E430"/>
    <mergeCell ref="H428:H430"/>
    <mergeCell ref="G431:G433"/>
    <mergeCell ref="H431:H433"/>
    <mergeCell ref="A428:A430"/>
    <mergeCell ref="A431:A433"/>
    <mergeCell ref="B431:B433"/>
    <mergeCell ref="C431:C433"/>
    <mergeCell ref="D431:D433"/>
    <mergeCell ref="E431:E433"/>
    <mergeCell ref="F431:F433"/>
    <mergeCell ref="B434:B436"/>
    <mergeCell ref="C434:C436"/>
    <mergeCell ref="D434:D436"/>
    <mergeCell ref="E434:E436"/>
    <mergeCell ref="F434:F436"/>
    <mergeCell ref="G434:G436"/>
    <mergeCell ref="H434:H436"/>
    <mergeCell ref="A434:A436"/>
    <mergeCell ref="A437:A439"/>
    <mergeCell ref="B437:B439"/>
    <mergeCell ref="C437:C439"/>
    <mergeCell ref="D437:D439"/>
    <mergeCell ref="E437:E439"/>
    <mergeCell ref="F437:F439"/>
    <mergeCell ref="F440:F442"/>
    <mergeCell ref="G440:G442"/>
    <mergeCell ref="G437:G439"/>
    <mergeCell ref="H437:H439"/>
    <mergeCell ref="B440:B442"/>
    <mergeCell ref="C440:C442"/>
    <mergeCell ref="D440:D442"/>
    <mergeCell ref="E440:E442"/>
    <mergeCell ref="H440:H442"/>
    <mergeCell ref="G443:G445"/>
    <mergeCell ref="H443:H445"/>
    <mergeCell ref="A440:A442"/>
    <mergeCell ref="A443:A445"/>
    <mergeCell ref="B443:B445"/>
    <mergeCell ref="C443:C445"/>
    <mergeCell ref="D443:D445"/>
    <mergeCell ref="E443:E445"/>
    <mergeCell ref="F443:F445"/>
    <mergeCell ref="B446:B448"/>
    <mergeCell ref="C446:C448"/>
    <mergeCell ref="D446:D448"/>
    <mergeCell ref="E446:E448"/>
    <mergeCell ref="F446:F448"/>
    <mergeCell ref="G446:G448"/>
    <mergeCell ref="H446:H448"/>
    <mergeCell ref="A446:A448"/>
    <mergeCell ref="A449:A451"/>
    <mergeCell ref="B449:B451"/>
    <mergeCell ref="C449:C451"/>
    <mergeCell ref="D449:D451"/>
    <mergeCell ref="E449:E451"/>
    <mergeCell ref="F449:F451"/>
    <mergeCell ref="F452:F454"/>
    <mergeCell ref="G452:G454"/>
    <mergeCell ref="G449:G451"/>
    <mergeCell ref="H449:H451"/>
    <mergeCell ref="B452:B454"/>
    <mergeCell ref="C452:C454"/>
    <mergeCell ref="D452:D454"/>
    <mergeCell ref="E452:E454"/>
    <mergeCell ref="H452:H454"/>
    <mergeCell ref="G455:G457"/>
    <mergeCell ref="H455:H457"/>
    <mergeCell ref="A452:A454"/>
    <mergeCell ref="A455:A457"/>
    <mergeCell ref="B455:B457"/>
    <mergeCell ref="C455:C457"/>
    <mergeCell ref="D455:D457"/>
    <mergeCell ref="E455:E457"/>
    <mergeCell ref="F455:F457"/>
    <mergeCell ref="B458:B460"/>
    <mergeCell ref="C458:C460"/>
    <mergeCell ref="D458:D460"/>
    <mergeCell ref="E458:E460"/>
    <mergeCell ref="F458:F460"/>
    <mergeCell ref="G458:G460"/>
    <mergeCell ref="H458:H460"/>
    <mergeCell ref="A458:A460"/>
    <mergeCell ref="A461:A463"/>
    <mergeCell ref="B461:B463"/>
    <mergeCell ref="C461:C463"/>
    <mergeCell ref="D461:D463"/>
    <mergeCell ref="E461:E463"/>
    <mergeCell ref="F461:F463"/>
    <mergeCell ref="F464:F466"/>
    <mergeCell ref="G464:G466"/>
    <mergeCell ref="G461:G463"/>
    <mergeCell ref="H461:H463"/>
    <mergeCell ref="B464:B466"/>
    <mergeCell ref="C464:C466"/>
    <mergeCell ref="D464:D466"/>
    <mergeCell ref="E464:E466"/>
    <mergeCell ref="H464:H466"/>
    <mergeCell ref="G467:G469"/>
    <mergeCell ref="H467:H469"/>
    <mergeCell ref="A464:A466"/>
    <mergeCell ref="A467:A469"/>
    <mergeCell ref="B467:B469"/>
    <mergeCell ref="C467:C469"/>
    <mergeCell ref="D467:D469"/>
    <mergeCell ref="E467:E469"/>
    <mergeCell ref="F467:F469"/>
    <mergeCell ref="F476:F478"/>
    <mergeCell ref="G476:G478"/>
    <mergeCell ref="G473:G475"/>
    <mergeCell ref="H473:H475"/>
    <mergeCell ref="B476:B478"/>
    <mergeCell ref="C476:C478"/>
    <mergeCell ref="D476:D478"/>
    <mergeCell ref="E476:E478"/>
    <mergeCell ref="H476:H478"/>
    <mergeCell ref="G671:G673"/>
    <mergeCell ref="H671:H673"/>
    <mergeCell ref="A668:A670"/>
    <mergeCell ref="A671:A673"/>
    <mergeCell ref="B671:B673"/>
    <mergeCell ref="C671:C673"/>
    <mergeCell ref="D671:D673"/>
    <mergeCell ref="E671:E673"/>
    <mergeCell ref="F671:F673"/>
    <mergeCell ref="B674:B676"/>
    <mergeCell ref="C674:C676"/>
    <mergeCell ref="D674:D676"/>
    <mergeCell ref="E674:E676"/>
    <mergeCell ref="F674:F676"/>
    <mergeCell ref="G674:G676"/>
    <mergeCell ref="H674:H676"/>
    <mergeCell ref="A674:A676"/>
    <mergeCell ref="A677:A679"/>
    <mergeCell ref="B677:B679"/>
    <mergeCell ref="C677:C679"/>
    <mergeCell ref="D677:D679"/>
    <mergeCell ref="E677:E679"/>
    <mergeCell ref="F677:F679"/>
    <mergeCell ref="F680:F682"/>
    <mergeCell ref="G680:G682"/>
    <mergeCell ref="G677:G679"/>
    <mergeCell ref="H677:H679"/>
    <mergeCell ref="B680:B682"/>
    <mergeCell ref="C680:C682"/>
    <mergeCell ref="D680:D682"/>
    <mergeCell ref="E680:E682"/>
    <mergeCell ref="H680:H682"/>
    <mergeCell ref="G683:G685"/>
    <mergeCell ref="H683:H685"/>
    <mergeCell ref="A680:A682"/>
    <mergeCell ref="A683:A685"/>
    <mergeCell ref="B683:B685"/>
    <mergeCell ref="C683:C685"/>
    <mergeCell ref="D683:D685"/>
    <mergeCell ref="E683:E685"/>
    <mergeCell ref="F683:F685"/>
    <mergeCell ref="B686:B688"/>
    <mergeCell ref="C686:C688"/>
    <mergeCell ref="D686:D688"/>
    <mergeCell ref="E686:E688"/>
    <mergeCell ref="F686:F688"/>
    <mergeCell ref="G686:G688"/>
    <mergeCell ref="H686:H688"/>
    <mergeCell ref="A686:A688"/>
    <mergeCell ref="A689:A691"/>
    <mergeCell ref="B689:B691"/>
    <mergeCell ref="C689:C691"/>
    <mergeCell ref="D689:D691"/>
    <mergeCell ref="E689:E691"/>
    <mergeCell ref="F689:F691"/>
    <mergeCell ref="F692:F694"/>
    <mergeCell ref="G692:G694"/>
    <mergeCell ref="G689:G691"/>
    <mergeCell ref="H689:H691"/>
    <mergeCell ref="B692:B694"/>
    <mergeCell ref="C692:C694"/>
    <mergeCell ref="D692:D694"/>
    <mergeCell ref="E692:E694"/>
    <mergeCell ref="H692:H694"/>
    <mergeCell ref="G695:G697"/>
    <mergeCell ref="H695:H697"/>
    <mergeCell ref="A692:A694"/>
    <mergeCell ref="A695:A697"/>
    <mergeCell ref="B695:B697"/>
    <mergeCell ref="C695:C697"/>
    <mergeCell ref="D695:D697"/>
    <mergeCell ref="E695:E697"/>
    <mergeCell ref="F695:F697"/>
    <mergeCell ref="B722:B724"/>
    <mergeCell ref="C722:C724"/>
    <mergeCell ref="D722:D724"/>
    <mergeCell ref="E722:E724"/>
    <mergeCell ref="F722:F724"/>
    <mergeCell ref="G722:G724"/>
    <mergeCell ref="H722:H724"/>
    <mergeCell ref="A722:A724"/>
    <mergeCell ref="A725:A727"/>
    <mergeCell ref="B725:B727"/>
    <mergeCell ref="C725:C727"/>
    <mergeCell ref="D725:D727"/>
    <mergeCell ref="E725:E727"/>
    <mergeCell ref="F725:F727"/>
    <mergeCell ref="B344:B346"/>
    <mergeCell ref="C344:C346"/>
    <mergeCell ref="D344:D346"/>
    <mergeCell ref="E344:E346"/>
    <mergeCell ref="F344:F346"/>
    <mergeCell ref="G344:G346"/>
    <mergeCell ref="H344:H346"/>
    <mergeCell ref="A344:A346"/>
    <mergeCell ref="A347:A349"/>
    <mergeCell ref="B347:B349"/>
    <mergeCell ref="C347:C349"/>
    <mergeCell ref="D347:D349"/>
    <mergeCell ref="E347:E349"/>
    <mergeCell ref="F347:F349"/>
    <mergeCell ref="B350:B352"/>
    <mergeCell ref="C350:C352"/>
    <mergeCell ref="D350:D352"/>
    <mergeCell ref="E350:E352"/>
    <mergeCell ref="F350:F352"/>
    <mergeCell ref="G350:G352"/>
    <mergeCell ref="H350:H352"/>
    <mergeCell ref="G353:G355"/>
    <mergeCell ref="H353:H355"/>
    <mergeCell ref="A350:A352"/>
    <mergeCell ref="A353:A355"/>
    <mergeCell ref="B353:B355"/>
    <mergeCell ref="C353:C355"/>
    <mergeCell ref="D353:D355"/>
    <mergeCell ref="E353:E355"/>
    <mergeCell ref="F353:F355"/>
    <mergeCell ref="G359:G361"/>
    <mergeCell ref="H359:H361"/>
    <mergeCell ref="G731:G733"/>
    <mergeCell ref="H731:H733"/>
    <mergeCell ref="A728:A730"/>
    <mergeCell ref="A731:A733"/>
    <mergeCell ref="B731:B733"/>
    <mergeCell ref="C731:C733"/>
    <mergeCell ref="D731:D733"/>
    <mergeCell ref="E731:E733"/>
    <mergeCell ref="F731:F733"/>
    <mergeCell ref="B698:B700"/>
    <mergeCell ref="C698:C700"/>
    <mergeCell ref="D698:D700"/>
    <mergeCell ref="E698:E700"/>
    <mergeCell ref="F698:F700"/>
    <mergeCell ref="G698:G700"/>
    <mergeCell ref="H698:H700"/>
    <mergeCell ref="A698:A700"/>
    <mergeCell ref="A701:A703"/>
    <mergeCell ref="B701:B703"/>
    <mergeCell ref="C701:C703"/>
    <mergeCell ref="D701:D703"/>
    <mergeCell ref="E701:E703"/>
    <mergeCell ref="F701:F703"/>
    <mergeCell ref="F704:F706"/>
    <mergeCell ref="G704:G706"/>
    <mergeCell ref="G701:G703"/>
    <mergeCell ref="H701:H703"/>
    <mergeCell ref="B704:B706"/>
    <mergeCell ref="C704:C706"/>
    <mergeCell ref="D704:D706"/>
    <mergeCell ref="E704:E706"/>
    <mergeCell ref="H704:H706"/>
    <mergeCell ref="G707:G709"/>
    <mergeCell ref="H707:H709"/>
    <mergeCell ref="A704:A706"/>
    <mergeCell ref="A707:A709"/>
    <mergeCell ref="B707:B709"/>
    <mergeCell ref="C707:C709"/>
    <mergeCell ref="D707:D709"/>
    <mergeCell ref="E707:E709"/>
    <mergeCell ref="F707:F709"/>
    <mergeCell ref="B710:B712"/>
    <mergeCell ref="C710:C712"/>
    <mergeCell ref="D710:D712"/>
    <mergeCell ref="E710:E712"/>
    <mergeCell ref="F710:F712"/>
    <mergeCell ref="G710:G712"/>
    <mergeCell ref="H710:H712"/>
    <mergeCell ref="A710:A712"/>
    <mergeCell ref="A713:A715"/>
    <mergeCell ref="B713:B715"/>
    <mergeCell ref="C713:C715"/>
    <mergeCell ref="D713:D715"/>
    <mergeCell ref="E713:E715"/>
    <mergeCell ref="F713:F715"/>
    <mergeCell ref="F716:F718"/>
    <mergeCell ref="G716:G718"/>
    <mergeCell ref="G713:G715"/>
    <mergeCell ref="H713:H715"/>
    <mergeCell ref="B716:B718"/>
    <mergeCell ref="C716:C718"/>
    <mergeCell ref="D716:D718"/>
    <mergeCell ref="E716:E718"/>
    <mergeCell ref="H716:H718"/>
    <mergeCell ref="G719:G721"/>
    <mergeCell ref="H719:H721"/>
    <mergeCell ref="A716:A718"/>
    <mergeCell ref="A719:A721"/>
    <mergeCell ref="B719:B721"/>
    <mergeCell ref="C719:C721"/>
    <mergeCell ref="D719:D721"/>
    <mergeCell ref="E719:E721"/>
    <mergeCell ref="F719:F721"/>
    <mergeCell ref="F728:F730"/>
    <mergeCell ref="G728:G730"/>
    <mergeCell ref="I731:I733"/>
    <mergeCell ref="J731:J733"/>
    <mergeCell ref="G725:G727"/>
    <mergeCell ref="H725:H727"/>
    <mergeCell ref="B728:B730"/>
    <mergeCell ref="C728:C730"/>
    <mergeCell ref="D728:D730"/>
    <mergeCell ref="E728:E730"/>
    <mergeCell ref="H728:H730"/>
    <mergeCell ref="B470:B472"/>
    <mergeCell ref="C470:C472"/>
    <mergeCell ref="D470:D472"/>
    <mergeCell ref="E470:E472"/>
    <mergeCell ref="F470:F472"/>
    <mergeCell ref="G470:G472"/>
    <mergeCell ref="H470:H472"/>
    <mergeCell ref="A470:A472"/>
    <mergeCell ref="A473:A475"/>
    <mergeCell ref="B473:B475"/>
    <mergeCell ref="C473:C475"/>
    <mergeCell ref="D473:D475"/>
    <mergeCell ref="E473:E475"/>
    <mergeCell ref="F473:F475"/>
    <mergeCell ref="G479:G481"/>
    <mergeCell ref="H479:H481"/>
    <mergeCell ref="A476:A478"/>
    <mergeCell ref="A479:A481"/>
    <mergeCell ref="B479:B481"/>
    <mergeCell ref="C479:C481"/>
    <mergeCell ref="D479:D481"/>
    <mergeCell ref="E479:E481"/>
    <mergeCell ref="F479:F481"/>
    <mergeCell ref="B482:B484"/>
    <mergeCell ref="C482:C484"/>
    <mergeCell ref="D482:D484"/>
    <mergeCell ref="E482:E484"/>
    <mergeCell ref="F482:F484"/>
    <mergeCell ref="G482:G484"/>
    <mergeCell ref="H482:H484"/>
    <mergeCell ref="A482:A484"/>
    <mergeCell ref="A485:A487"/>
    <mergeCell ref="B485:B487"/>
    <mergeCell ref="C485:C487"/>
    <mergeCell ref="D485:D487"/>
    <mergeCell ref="E485:E487"/>
    <mergeCell ref="F485:F487"/>
    <mergeCell ref="F488:F490"/>
    <mergeCell ref="G488:G490"/>
    <mergeCell ref="G485:G487"/>
    <mergeCell ref="H485:H487"/>
    <mergeCell ref="B488:B490"/>
    <mergeCell ref="C488:C490"/>
    <mergeCell ref="D488:D490"/>
    <mergeCell ref="E488:E490"/>
    <mergeCell ref="H488:H490"/>
    <mergeCell ref="G491:G493"/>
    <mergeCell ref="H491:H493"/>
    <mergeCell ref="A488:A490"/>
    <mergeCell ref="A491:A493"/>
    <mergeCell ref="B491:B493"/>
    <mergeCell ref="C491:C493"/>
    <mergeCell ref="D491:D493"/>
    <mergeCell ref="E491:E493"/>
    <mergeCell ref="F491:F493"/>
    <mergeCell ref="B494:B496"/>
    <mergeCell ref="C494:C496"/>
    <mergeCell ref="D494:D496"/>
    <mergeCell ref="E494:E496"/>
    <mergeCell ref="F494:F496"/>
    <mergeCell ref="G494:G496"/>
    <mergeCell ref="H494:H496"/>
    <mergeCell ref="A494:A496"/>
    <mergeCell ref="A497:A499"/>
    <mergeCell ref="B497:B499"/>
    <mergeCell ref="C497:C499"/>
    <mergeCell ref="D497:D499"/>
    <mergeCell ref="E497:E499"/>
    <mergeCell ref="F497:F499"/>
    <mergeCell ref="F500:F502"/>
    <mergeCell ref="G500:G502"/>
    <mergeCell ref="G497:G499"/>
    <mergeCell ref="H497:H499"/>
    <mergeCell ref="B500:B502"/>
    <mergeCell ref="C500:C502"/>
    <mergeCell ref="D500:D502"/>
    <mergeCell ref="E500:E502"/>
    <mergeCell ref="H500:H502"/>
    <mergeCell ref="G503:G505"/>
    <mergeCell ref="H503:H505"/>
    <mergeCell ref="A500:A502"/>
    <mergeCell ref="A503:A505"/>
    <mergeCell ref="B503:B505"/>
    <mergeCell ref="C503:C505"/>
    <mergeCell ref="D503:D505"/>
    <mergeCell ref="E503:E505"/>
    <mergeCell ref="F503:F505"/>
    <mergeCell ref="B506:B508"/>
    <mergeCell ref="C506:C508"/>
    <mergeCell ref="D506:D508"/>
    <mergeCell ref="E506:E508"/>
    <mergeCell ref="F506:F508"/>
    <mergeCell ref="G506:G508"/>
    <mergeCell ref="H506:H508"/>
    <mergeCell ref="A506:A508"/>
    <mergeCell ref="A509:A511"/>
    <mergeCell ref="B509:B511"/>
    <mergeCell ref="C509:C511"/>
    <mergeCell ref="D509:D511"/>
    <mergeCell ref="E509:E511"/>
    <mergeCell ref="F509:F511"/>
    <mergeCell ref="F512:F514"/>
    <mergeCell ref="G512:G514"/>
    <mergeCell ref="G509:G511"/>
    <mergeCell ref="H509:H511"/>
    <mergeCell ref="B512:B514"/>
    <mergeCell ref="C512:C514"/>
    <mergeCell ref="D512:D514"/>
    <mergeCell ref="E512:E514"/>
    <mergeCell ref="H512:H514"/>
    <mergeCell ref="G515:G517"/>
    <mergeCell ref="H515:H517"/>
    <mergeCell ref="A512:A514"/>
    <mergeCell ref="A515:A517"/>
    <mergeCell ref="B515:B517"/>
    <mergeCell ref="C515:C517"/>
    <mergeCell ref="D515:D517"/>
    <mergeCell ref="E515:E517"/>
    <mergeCell ref="F515:F517"/>
    <mergeCell ref="B518:B520"/>
    <mergeCell ref="C518:C520"/>
    <mergeCell ref="D518:D520"/>
    <mergeCell ref="E518:E520"/>
    <mergeCell ref="F518:F520"/>
    <mergeCell ref="G518:G520"/>
    <mergeCell ref="H518:H520"/>
    <mergeCell ref="A518:A520"/>
    <mergeCell ref="A521:A523"/>
    <mergeCell ref="B521:B523"/>
    <mergeCell ref="C521:C523"/>
    <mergeCell ref="D521:D523"/>
    <mergeCell ref="E521:E523"/>
    <mergeCell ref="F521:F523"/>
    <mergeCell ref="F524:F526"/>
    <mergeCell ref="G524:G526"/>
    <mergeCell ref="G521:G523"/>
    <mergeCell ref="H521:H523"/>
    <mergeCell ref="B524:B526"/>
    <mergeCell ref="C524:C526"/>
    <mergeCell ref="D524:D526"/>
    <mergeCell ref="E524:E526"/>
    <mergeCell ref="H524:H526"/>
    <mergeCell ref="G527:G529"/>
    <mergeCell ref="H527:H529"/>
    <mergeCell ref="A524:A526"/>
    <mergeCell ref="A527:A529"/>
    <mergeCell ref="B527:B529"/>
    <mergeCell ref="C527:C529"/>
    <mergeCell ref="D527:D529"/>
    <mergeCell ref="E527:E529"/>
    <mergeCell ref="F527:F529"/>
    <mergeCell ref="B530:B532"/>
    <mergeCell ref="C530:C532"/>
    <mergeCell ref="D530:D532"/>
    <mergeCell ref="E530:E532"/>
    <mergeCell ref="F530:F532"/>
    <mergeCell ref="G530:G532"/>
    <mergeCell ref="H530:H532"/>
    <mergeCell ref="A530:A532"/>
    <mergeCell ref="A533:A535"/>
    <mergeCell ref="B533:B535"/>
    <mergeCell ref="C533:C535"/>
    <mergeCell ref="D533:D535"/>
    <mergeCell ref="E533:E535"/>
    <mergeCell ref="F533:F535"/>
    <mergeCell ref="F536:F538"/>
    <mergeCell ref="G536:G538"/>
    <mergeCell ref="G533:G535"/>
    <mergeCell ref="H533:H535"/>
    <mergeCell ref="B536:B538"/>
    <mergeCell ref="C536:C538"/>
    <mergeCell ref="D536:D538"/>
    <mergeCell ref="E536:E538"/>
    <mergeCell ref="H536:H538"/>
    <mergeCell ref="G539:G541"/>
    <mergeCell ref="H539:H541"/>
    <mergeCell ref="A536:A538"/>
    <mergeCell ref="A539:A541"/>
    <mergeCell ref="B539:B541"/>
    <mergeCell ref="C539:C541"/>
    <mergeCell ref="D539:D541"/>
    <mergeCell ref="E539:E541"/>
    <mergeCell ref="F539:F541"/>
    <mergeCell ref="B542:B544"/>
    <mergeCell ref="C542:C544"/>
    <mergeCell ref="D542:D544"/>
    <mergeCell ref="E542:E544"/>
    <mergeCell ref="F542:F544"/>
    <mergeCell ref="G542:G544"/>
    <mergeCell ref="H542:H544"/>
    <mergeCell ref="A542:A544"/>
    <mergeCell ref="A545:A547"/>
    <mergeCell ref="B545:B547"/>
    <mergeCell ref="C545:C547"/>
    <mergeCell ref="D545:D547"/>
    <mergeCell ref="E545:E547"/>
    <mergeCell ref="F545:F547"/>
    <mergeCell ref="F548:F550"/>
    <mergeCell ref="G548:G550"/>
    <mergeCell ref="G545:G547"/>
    <mergeCell ref="H545:H547"/>
    <mergeCell ref="B548:B550"/>
    <mergeCell ref="C548:C550"/>
    <mergeCell ref="D548:D550"/>
    <mergeCell ref="E548:E550"/>
    <mergeCell ref="H548:H550"/>
    <mergeCell ref="G551:G553"/>
    <mergeCell ref="H551:H553"/>
    <mergeCell ref="A548:A550"/>
    <mergeCell ref="A551:A553"/>
    <mergeCell ref="B551:B553"/>
    <mergeCell ref="C551:C553"/>
    <mergeCell ref="D551:D553"/>
    <mergeCell ref="E551:E553"/>
    <mergeCell ref="F551:F553"/>
    <mergeCell ref="F560:F562"/>
    <mergeCell ref="G560:G562"/>
    <mergeCell ref="G557:G559"/>
    <mergeCell ref="H557:H559"/>
    <mergeCell ref="B560:B562"/>
    <mergeCell ref="C560:C562"/>
    <mergeCell ref="D560:D562"/>
    <mergeCell ref="E560:E562"/>
    <mergeCell ref="H560:H562"/>
    <mergeCell ref="B554:B556"/>
    <mergeCell ref="C554:C556"/>
    <mergeCell ref="D554:D556"/>
    <mergeCell ref="E554:E556"/>
    <mergeCell ref="F554:F556"/>
    <mergeCell ref="G554:G556"/>
    <mergeCell ref="H554:H556"/>
    <mergeCell ref="A554:A556"/>
    <mergeCell ref="A557:A559"/>
    <mergeCell ref="B557:B559"/>
    <mergeCell ref="C557:C559"/>
    <mergeCell ref="D557:D559"/>
    <mergeCell ref="E557:E559"/>
    <mergeCell ref="F557:F559"/>
    <mergeCell ref="G563:G565"/>
    <mergeCell ref="H563:H565"/>
    <mergeCell ref="A560:A562"/>
    <mergeCell ref="A563:A565"/>
    <mergeCell ref="B563:B565"/>
    <mergeCell ref="C563:C565"/>
    <mergeCell ref="D563:D565"/>
    <mergeCell ref="E563:E565"/>
    <mergeCell ref="F563:F565"/>
    <mergeCell ref="B566:B568"/>
    <mergeCell ref="C566:C568"/>
    <mergeCell ref="D566:D568"/>
    <mergeCell ref="E566:E568"/>
    <mergeCell ref="F566:F568"/>
    <mergeCell ref="G566:G568"/>
    <mergeCell ref="H566:H568"/>
    <mergeCell ref="A566:A568"/>
    <mergeCell ref="A569:A571"/>
    <mergeCell ref="B569:B571"/>
    <mergeCell ref="C569:C571"/>
    <mergeCell ref="D569:D571"/>
    <mergeCell ref="E569:E571"/>
    <mergeCell ref="F569:F571"/>
    <mergeCell ref="F572:F574"/>
    <mergeCell ref="G572:G574"/>
    <mergeCell ref="G569:G571"/>
    <mergeCell ref="H569:H571"/>
    <mergeCell ref="B572:B574"/>
    <mergeCell ref="C572:C574"/>
    <mergeCell ref="D572:D574"/>
    <mergeCell ref="E572:E574"/>
    <mergeCell ref="H572:H574"/>
    <mergeCell ref="G575:G577"/>
    <mergeCell ref="H575:H577"/>
    <mergeCell ref="A572:A574"/>
    <mergeCell ref="A575:A577"/>
    <mergeCell ref="B575:B577"/>
    <mergeCell ref="C575:C577"/>
    <mergeCell ref="D575:D577"/>
    <mergeCell ref="E575:E577"/>
    <mergeCell ref="F575:F577"/>
    <mergeCell ref="B578:B580"/>
    <mergeCell ref="C578:C580"/>
    <mergeCell ref="D578:D580"/>
    <mergeCell ref="E578:E580"/>
    <mergeCell ref="F578:F580"/>
    <mergeCell ref="G578:G580"/>
    <mergeCell ref="H578:H580"/>
    <mergeCell ref="A578:A580"/>
    <mergeCell ref="A581:A583"/>
    <mergeCell ref="B581:B583"/>
    <mergeCell ref="C581:C583"/>
    <mergeCell ref="D581:D583"/>
    <mergeCell ref="E581:E583"/>
    <mergeCell ref="F581:F583"/>
    <mergeCell ref="F584:F586"/>
    <mergeCell ref="G584:G586"/>
    <mergeCell ref="G581:G583"/>
    <mergeCell ref="H581:H583"/>
    <mergeCell ref="B584:B586"/>
    <mergeCell ref="C584:C586"/>
    <mergeCell ref="D584:D586"/>
    <mergeCell ref="E584:E586"/>
    <mergeCell ref="H584:H586"/>
    <mergeCell ref="G587:G589"/>
    <mergeCell ref="H587:H589"/>
    <mergeCell ref="A584:A586"/>
    <mergeCell ref="A587:A589"/>
    <mergeCell ref="B587:B589"/>
    <mergeCell ref="C587:C589"/>
    <mergeCell ref="D587:D589"/>
    <mergeCell ref="E587:E589"/>
    <mergeCell ref="F587:F589"/>
    <mergeCell ref="B590:B592"/>
    <mergeCell ref="C590:C592"/>
    <mergeCell ref="D590:D592"/>
    <mergeCell ref="E590:E592"/>
    <mergeCell ref="F590:F592"/>
    <mergeCell ref="G590:G592"/>
    <mergeCell ref="H590:H592"/>
    <mergeCell ref="A590:A592"/>
    <mergeCell ref="A593:A595"/>
    <mergeCell ref="B593:B595"/>
    <mergeCell ref="C593:C595"/>
    <mergeCell ref="D593:D595"/>
    <mergeCell ref="E593:E595"/>
    <mergeCell ref="F593:F595"/>
    <mergeCell ref="F596:F598"/>
    <mergeCell ref="G596:G598"/>
    <mergeCell ref="G593:G595"/>
    <mergeCell ref="H593:H595"/>
    <mergeCell ref="B596:B598"/>
    <mergeCell ref="C596:C598"/>
    <mergeCell ref="D596:D598"/>
    <mergeCell ref="E596:E598"/>
    <mergeCell ref="H596:H598"/>
    <mergeCell ref="G599:G601"/>
    <mergeCell ref="H599:H601"/>
    <mergeCell ref="A596:A598"/>
    <mergeCell ref="A599:A601"/>
    <mergeCell ref="B599:B601"/>
    <mergeCell ref="C599:C601"/>
    <mergeCell ref="D599:D601"/>
    <mergeCell ref="E599:E601"/>
    <mergeCell ref="F599:F601"/>
    <mergeCell ref="B602:B604"/>
    <mergeCell ref="C602:C604"/>
    <mergeCell ref="D602:D604"/>
    <mergeCell ref="E602:E604"/>
    <mergeCell ref="F602:F604"/>
    <mergeCell ref="G602:G604"/>
    <mergeCell ref="H602:H604"/>
    <mergeCell ref="A602:A604"/>
    <mergeCell ref="A605:A607"/>
    <mergeCell ref="B605:B607"/>
    <mergeCell ref="C605:C607"/>
    <mergeCell ref="D605:D607"/>
    <mergeCell ref="E605:E607"/>
    <mergeCell ref="F605:F607"/>
    <mergeCell ref="F608:F610"/>
    <mergeCell ref="G608:G610"/>
    <mergeCell ref="G605:G607"/>
    <mergeCell ref="H605:H607"/>
    <mergeCell ref="B608:B610"/>
    <mergeCell ref="C608:C610"/>
    <mergeCell ref="D608:D610"/>
    <mergeCell ref="E608:E610"/>
    <mergeCell ref="H608:H610"/>
    <mergeCell ref="G611:G613"/>
    <mergeCell ref="H611:H613"/>
    <mergeCell ref="A608:A610"/>
    <mergeCell ref="A611:A613"/>
    <mergeCell ref="B611:B613"/>
    <mergeCell ref="C611:C613"/>
    <mergeCell ref="D611:D613"/>
    <mergeCell ref="E611:E613"/>
    <mergeCell ref="F611:F613"/>
    <mergeCell ref="B614:B616"/>
    <mergeCell ref="C614:C616"/>
    <mergeCell ref="D614:D616"/>
    <mergeCell ref="E614:E616"/>
    <mergeCell ref="F614:F616"/>
    <mergeCell ref="G614:G616"/>
    <mergeCell ref="H614:H616"/>
    <mergeCell ref="A614:A616"/>
    <mergeCell ref="A617:A619"/>
    <mergeCell ref="B617:B619"/>
    <mergeCell ref="C617:C619"/>
    <mergeCell ref="D617:D619"/>
    <mergeCell ref="E617:E619"/>
    <mergeCell ref="F617:F619"/>
    <mergeCell ref="F620:F622"/>
    <mergeCell ref="G620:G622"/>
    <mergeCell ref="G617:G619"/>
    <mergeCell ref="H617:H619"/>
    <mergeCell ref="B620:B622"/>
    <mergeCell ref="C620:C622"/>
    <mergeCell ref="D620:D622"/>
    <mergeCell ref="E620:E622"/>
    <mergeCell ref="H620:H622"/>
    <mergeCell ref="G623:G625"/>
    <mergeCell ref="H623:H625"/>
    <mergeCell ref="A620:A622"/>
    <mergeCell ref="A623:A625"/>
    <mergeCell ref="B623:B625"/>
    <mergeCell ref="C623:C625"/>
    <mergeCell ref="D623:D625"/>
    <mergeCell ref="E623:E625"/>
    <mergeCell ref="F623:F625"/>
    <mergeCell ref="B626:B628"/>
    <mergeCell ref="C626:C628"/>
    <mergeCell ref="D626:D628"/>
    <mergeCell ref="E626:E628"/>
    <mergeCell ref="F626:F628"/>
    <mergeCell ref="G626:G628"/>
    <mergeCell ref="H626:H628"/>
    <mergeCell ref="A626:A628"/>
    <mergeCell ref="A629:A631"/>
    <mergeCell ref="B629:B631"/>
    <mergeCell ref="C629:C631"/>
    <mergeCell ref="D629:D631"/>
    <mergeCell ref="E629:E631"/>
    <mergeCell ref="F629:F631"/>
    <mergeCell ref="F632:F634"/>
    <mergeCell ref="G632:G634"/>
    <mergeCell ref="G629:G631"/>
    <mergeCell ref="H629:H631"/>
    <mergeCell ref="B632:B634"/>
    <mergeCell ref="C632:C634"/>
    <mergeCell ref="D632:D634"/>
    <mergeCell ref="E632:E634"/>
    <mergeCell ref="H632:H634"/>
    <mergeCell ref="G635:G637"/>
    <mergeCell ref="H635:H637"/>
    <mergeCell ref="A632:A634"/>
    <mergeCell ref="A635:A637"/>
    <mergeCell ref="B635:B637"/>
    <mergeCell ref="C635:C637"/>
    <mergeCell ref="D635:D637"/>
    <mergeCell ref="E635:E637"/>
    <mergeCell ref="F635:F637"/>
    <mergeCell ref="F644:F646"/>
    <mergeCell ref="G644:G646"/>
    <mergeCell ref="G641:G643"/>
    <mergeCell ref="H641:H643"/>
    <mergeCell ref="B644:B646"/>
    <mergeCell ref="C644:C646"/>
    <mergeCell ref="D644:D646"/>
    <mergeCell ref="E644:E646"/>
    <mergeCell ref="H644:H646"/>
    <mergeCell ref="B638:B640"/>
    <mergeCell ref="C638:C640"/>
    <mergeCell ref="D638:D640"/>
    <mergeCell ref="E638:E640"/>
    <mergeCell ref="F638:F640"/>
    <mergeCell ref="G638:G640"/>
    <mergeCell ref="H638:H640"/>
    <mergeCell ref="A638:A640"/>
    <mergeCell ref="A641:A643"/>
    <mergeCell ref="B641:B643"/>
    <mergeCell ref="C641:C643"/>
    <mergeCell ref="D641:D643"/>
    <mergeCell ref="E641:E643"/>
    <mergeCell ref="F641:F643"/>
    <mergeCell ref="G647:G649"/>
    <mergeCell ref="H647:H649"/>
    <mergeCell ref="A644:A646"/>
    <mergeCell ref="A647:A649"/>
    <mergeCell ref="B647:B649"/>
    <mergeCell ref="C647:C649"/>
    <mergeCell ref="D647:D649"/>
    <mergeCell ref="E647:E649"/>
    <mergeCell ref="F647:F649"/>
    <mergeCell ref="B650:B652"/>
    <mergeCell ref="C650:C652"/>
    <mergeCell ref="D650:D652"/>
    <mergeCell ref="E650:E652"/>
    <mergeCell ref="F650:F652"/>
    <mergeCell ref="G650:G652"/>
    <mergeCell ref="H650:H652"/>
    <mergeCell ref="A650:A652"/>
    <mergeCell ref="A653:A655"/>
    <mergeCell ref="B653:B655"/>
    <mergeCell ref="C653:C655"/>
    <mergeCell ref="D653:D655"/>
    <mergeCell ref="E653:E655"/>
    <mergeCell ref="F653:F655"/>
    <mergeCell ref="F656:F658"/>
    <mergeCell ref="G656:G658"/>
    <mergeCell ref="G653:G655"/>
    <mergeCell ref="H653:H655"/>
    <mergeCell ref="B656:B658"/>
    <mergeCell ref="C656:C658"/>
    <mergeCell ref="D656:D658"/>
    <mergeCell ref="E656:E658"/>
    <mergeCell ref="H656:H658"/>
    <mergeCell ref="G659:G661"/>
    <mergeCell ref="H659:H661"/>
    <mergeCell ref="A656:A658"/>
    <mergeCell ref="A659:A661"/>
    <mergeCell ref="B659:B661"/>
    <mergeCell ref="C659:C661"/>
    <mergeCell ref="D659:D661"/>
    <mergeCell ref="E659:E661"/>
    <mergeCell ref="F659:F661"/>
    <mergeCell ref="B662:B664"/>
    <mergeCell ref="C662:C664"/>
    <mergeCell ref="D662:D664"/>
    <mergeCell ref="E662:E664"/>
    <mergeCell ref="F662:F664"/>
    <mergeCell ref="G662:G664"/>
    <mergeCell ref="H662:H664"/>
    <mergeCell ref="A662:A664"/>
    <mergeCell ref="A665:A667"/>
    <mergeCell ref="B665:B667"/>
    <mergeCell ref="C665:C667"/>
    <mergeCell ref="D665:D667"/>
    <mergeCell ref="E665:E667"/>
    <mergeCell ref="F665:F667"/>
    <mergeCell ref="F668:F670"/>
    <mergeCell ref="G668:G670"/>
    <mergeCell ref="G665:G667"/>
    <mergeCell ref="H665:H667"/>
    <mergeCell ref="B668:B670"/>
    <mergeCell ref="C668:C670"/>
    <mergeCell ref="D668:D670"/>
    <mergeCell ref="E668:E670"/>
    <mergeCell ref="H668:H670"/>
  </mergeCells>
  <hyperlinks>
    <hyperlink r:id="rId1" ref="B29"/>
    <hyperlink r:id="rId2" ref="B209"/>
    <hyperlink r:id="rId3" ref="B233"/>
    <hyperlink r:id="rId4" ref="B239"/>
    <hyperlink r:id="rId5" ref="B353"/>
    <hyperlink r:id="rId6" ref="B395"/>
    <hyperlink r:id="rId7" ref="B521"/>
    <hyperlink r:id="rId8" ref="B605"/>
    <hyperlink r:id="rId9" ref="B638"/>
    <hyperlink r:id="rId10" ref="B695"/>
  </hyperlinks>
  <drawing r:id="rId1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73" t="s">
        <v>1161</v>
      </c>
      <c r="B1" s="74"/>
      <c r="C1" s="74"/>
      <c r="D1" s="74"/>
      <c r="E1" s="74"/>
      <c r="F1" s="74"/>
      <c r="G1" s="74"/>
      <c r="H1" s="74"/>
      <c r="I1" s="74"/>
      <c r="J1" s="74"/>
      <c r="K1" s="74"/>
      <c r="L1" s="74"/>
      <c r="M1" s="74"/>
      <c r="N1" s="74"/>
    </row>
    <row r="2">
      <c r="A2" s="75" t="s">
        <v>1162</v>
      </c>
      <c r="B2" s="76" t="s">
        <v>1163</v>
      </c>
      <c r="C2" s="77" t="s">
        <v>1164</v>
      </c>
      <c r="D2" s="78" t="s">
        <v>1165</v>
      </c>
      <c r="E2" s="78" t="s">
        <v>1166</v>
      </c>
      <c r="F2" s="78" t="s">
        <v>1167</v>
      </c>
      <c r="G2" s="78" t="s">
        <v>1168</v>
      </c>
      <c r="H2" s="78" t="s">
        <v>1169</v>
      </c>
      <c r="I2" s="78" t="s">
        <v>1170</v>
      </c>
      <c r="J2" s="78" t="s">
        <v>1171</v>
      </c>
      <c r="K2" s="78" t="s">
        <v>1172</v>
      </c>
      <c r="L2" s="78" t="s">
        <v>1173</v>
      </c>
      <c r="M2" s="78" t="s">
        <v>1174</v>
      </c>
      <c r="N2" s="79" t="s">
        <v>1175</v>
      </c>
    </row>
    <row r="3">
      <c r="A3" s="80" t="s">
        <v>1176</v>
      </c>
      <c r="B3" s="81" t="s">
        <v>1177</v>
      </c>
      <c r="C3" s="82" t="s">
        <v>1178</v>
      </c>
      <c r="D3" s="83">
        <v>11768.0</v>
      </c>
      <c r="E3" s="83">
        <v>10193.0</v>
      </c>
      <c r="F3" s="84">
        <v>595.0</v>
      </c>
      <c r="G3" s="84">
        <v>30.0</v>
      </c>
      <c r="H3" s="84">
        <v>53.0</v>
      </c>
      <c r="I3" s="84">
        <v>54.0</v>
      </c>
      <c r="J3" s="85" t="s">
        <v>32</v>
      </c>
      <c r="K3" s="85" t="s">
        <v>32</v>
      </c>
      <c r="L3" s="85" t="s">
        <v>32</v>
      </c>
      <c r="M3" s="83">
        <f t="shared" ref="M3:M4" si="1">SUM(F3:L3)</f>
        <v>732</v>
      </c>
      <c r="N3" s="86">
        <f t="shared" ref="N3:N5" si="2">M3/E3*100</f>
        <v>7.181398999</v>
      </c>
    </row>
    <row r="4">
      <c r="A4" s="80" t="s">
        <v>1176</v>
      </c>
      <c r="B4" s="87" t="s">
        <v>1177</v>
      </c>
      <c r="C4" s="88" t="s">
        <v>1179</v>
      </c>
      <c r="D4" s="89">
        <v>265.0</v>
      </c>
      <c r="E4" s="89">
        <v>0.0</v>
      </c>
      <c r="F4" s="90">
        <v>33.0</v>
      </c>
      <c r="G4" s="90">
        <v>6.0</v>
      </c>
      <c r="H4" s="90">
        <v>3.0</v>
      </c>
      <c r="I4" s="90">
        <v>2.0</v>
      </c>
      <c r="J4" s="91" t="s">
        <v>32</v>
      </c>
      <c r="K4" s="85" t="s">
        <v>32</v>
      </c>
      <c r="L4" s="85" t="s">
        <v>32</v>
      </c>
      <c r="M4" s="83">
        <f t="shared" si="1"/>
        <v>44</v>
      </c>
      <c r="N4" s="92" t="str">
        <f t="shared" si="2"/>
        <v>#DIV/0!</v>
      </c>
    </row>
    <row r="5">
      <c r="A5" s="93" t="s">
        <v>1180</v>
      </c>
      <c r="B5" s="94"/>
      <c r="C5" s="95"/>
      <c r="D5" s="96">
        <f t="shared" ref="D5:M5" si="3">sum(D3:D4)</f>
        <v>12033</v>
      </c>
      <c r="E5" s="96">
        <f t="shared" si="3"/>
        <v>10193</v>
      </c>
      <c r="F5" s="96">
        <f t="shared" si="3"/>
        <v>628</v>
      </c>
      <c r="G5" s="96">
        <f t="shared" si="3"/>
        <v>36</v>
      </c>
      <c r="H5" s="96">
        <f t="shared" si="3"/>
        <v>56</v>
      </c>
      <c r="I5" s="96">
        <f t="shared" si="3"/>
        <v>56</v>
      </c>
      <c r="J5" s="96">
        <f t="shared" si="3"/>
        <v>0</v>
      </c>
      <c r="K5" s="96">
        <f t="shared" si="3"/>
        <v>0</v>
      </c>
      <c r="L5" s="96">
        <f t="shared" si="3"/>
        <v>0</v>
      </c>
      <c r="M5" s="96">
        <f t="shared" si="3"/>
        <v>776</v>
      </c>
      <c r="N5" s="97">
        <f t="shared" si="2"/>
        <v>7.613067792</v>
      </c>
    </row>
    <row r="6">
      <c r="A6" s="74"/>
      <c r="B6" s="74"/>
      <c r="C6" s="74"/>
      <c r="D6" s="74"/>
      <c r="E6" s="74"/>
      <c r="F6" s="74"/>
      <c r="G6" s="74"/>
      <c r="H6" s="74"/>
      <c r="I6" s="74"/>
      <c r="J6" s="74"/>
      <c r="K6" s="74"/>
      <c r="L6" s="74"/>
      <c r="M6" s="74"/>
      <c r="N6" s="74"/>
    </row>
    <row r="7">
      <c r="A7" s="74"/>
      <c r="B7" s="74"/>
      <c r="C7" s="74"/>
      <c r="D7" s="74"/>
      <c r="E7" s="74"/>
      <c r="F7" s="74"/>
      <c r="G7" s="74"/>
      <c r="H7" s="74"/>
      <c r="I7" s="74"/>
      <c r="J7" s="74"/>
      <c r="K7" s="74"/>
      <c r="L7" s="74"/>
      <c r="M7" s="74"/>
      <c r="N7" s="74"/>
    </row>
    <row r="8">
      <c r="A8" s="73" t="s">
        <v>1181</v>
      </c>
      <c r="B8" s="74"/>
      <c r="C8" s="74"/>
      <c r="D8" s="74"/>
      <c r="E8" s="74"/>
      <c r="F8" s="74"/>
      <c r="G8" s="74"/>
      <c r="H8" s="74"/>
      <c r="I8" s="74"/>
      <c r="J8" s="74"/>
      <c r="K8" s="74"/>
      <c r="L8" s="74"/>
      <c r="M8" s="74"/>
      <c r="N8" s="74"/>
    </row>
    <row r="9">
      <c r="A9" s="75" t="s">
        <v>1162</v>
      </c>
      <c r="B9" s="76" t="s">
        <v>1163</v>
      </c>
      <c r="C9" s="77" t="s">
        <v>1164</v>
      </c>
      <c r="D9" s="78" t="s">
        <v>1165</v>
      </c>
      <c r="E9" s="78" t="s">
        <v>1166</v>
      </c>
      <c r="F9" s="78" t="s">
        <v>1167</v>
      </c>
      <c r="G9" s="78" t="s">
        <v>1168</v>
      </c>
      <c r="H9" s="78" t="s">
        <v>1169</v>
      </c>
      <c r="I9" s="78" t="s">
        <v>1170</v>
      </c>
      <c r="J9" s="78" t="s">
        <v>1171</v>
      </c>
      <c r="K9" s="78" t="s">
        <v>1172</v>
      </c>
      <c r="L9" s="78" t="s">
        <v>1173</v>
      </c>
      <c r="M9" s="78" t="s">
        <v>1174</v>
      </c>
      <c r="N9" s="79" t="s">
        <v>1175</v>
      </c>
    </row>
    <row r="10">
      <c r="A10" s="98">
        <v>45668.0</v>
      </c>
      <c r="B10" s="99" t="s">
        <v>1182</v>
      </c>
      <c r="C10" s="100" t="s">
        <v>1183</v>
      </c>
      <c r="D10" s="83">
        <v>11073.0</v>
      </c>
      <c r="E10" s="83">
        <v>7150.0</v>
      </c>
      <c r="F10" s="84">
        <v>420.0</v>
      </c>
      <c r="G10" s="84">
        <v>11.0</v>
      </c>
      <c r="H10" s="84">
        <v>1.0</v>
      </c>
      <c r="I10" s="84">
        <v>25.0</v>
      </c>
      <c r="J10" s="85" t="s">
        <v>32</v>
      </c>
      <c r="K10" s="85" t="s">
        <v>32</v>
      </c>
      <c r="L10" s="85" t="s">
        <v>32</v>
      </c>
      <c r="M10" s="83">
        <f t="shared" ref="M10:M21" si="4">SUM(F10:L10)</f>
        <v>457</v>
      </c>
      <c r="N10" s="86">
        <f t="shared" ref="N10:N22" si="5">M10/E10*100</f>
        <v>6.391608392</v>
      </c>
    </row>
    <row r="11">
      <c r="A11" s="98">
        <v>45727.0</v>
      </c>
      <c r="B11" s="99" t="s">
        <v>1184</v>
      </c>
      <c r="C11" s="101" t="s">
        <v>1185</v>
      </c>
      <c r="D11" s="83">
        <v>66441.0</v>
      </c>
      <c r="E11" s="83">
        <v>85795.0</v>
      </c>
      <c r="F11" s="84">
        <v>526.0</v>
      </c>
      <c r="G11" s="84">
        <v>3.0</v>
      </c>
      <c r="H11" s="84">
        <v>36.0</v>
      </c>
      <c r="I11" s="84">
        <v>151.0</v>
      </c>
      <c r="J11" s="85" t="s">
        <v>32</v>
      </c>
      <c r="K11" s="85" t="s">
        <v>32</v>
      </c>
      <c r="L11" s="85" t="s">
        <v>32</v>
      </c>
      <c r="M11" s="83">
        <f t="shared" si="4"/>
        <v>716</v>
      </c>
      <c r="N11" s="86">
        <f t="shared" si="5"/>
        <v>0.8345474678</v>
      </c>
    </row>
    <row r="12">
      <c r="A12" s="98">
        <v>45727.0</v>
      </c>
      <c r="B12" s="99" t="s">
        <v>1186</v>
      </c>
      <c r="C12" s="101" t="s">
        <v>1187</v>
      </c>
      <c r="D12" s="83">
        <v>5638.0</v>
      </c>
      <c r="E12" s="102" t="s">
        <v>32</v>
      </c>
      <c r="F12" s="84">
        <v>118.0</v>
      </c>
      <c r="G12" s="84">
        <v>8.0</v>
      </c>
      <c r="H12" s="84">
        <v>59.0</v>
      </c>
      <c r="I12" s="84">
        <v>43.0</v>
      </c>
      <c r="J12" s="85" t="s">
        <v>32</v>
      </c>
      <c r="K12" s="85" t="s">
        <v>32</v>
      </c>
      <c r="L12" s="85" t="s">
        <v>32</v>
      </c>
      <c r="M12" s="83">
        <f t="shared" si="4"/>
        <v>228</v>
      </c>
      <c r="N12" s="92" t="str">
        <f t="shared" si="5"/>
        <v>#VALUE!</v>
      </c>
    </row>
    <row r="13">
      <c r="A13" s="98">
        <v>45758.0</v>
      </c>
      <c r="B13" s="99" t="s">
        <v>1188</v>
      </c>
      <c r="C13" s="103" t="s">
        <v>1189</v>
      </c>
      <c r="D13" s="89">
        <v>2785.0</v>
      </c>
      <c r="E13" s="89">
        <v>1637.0</v>
      </c>
      <c r="F13" s="90">
        <v>336.0</v>
      </c>
      <c r="G13" s="90">
        <v>2.0</v>
      </c>
      <c r="H13" s="90">
        <v>3.0</v>
      </c>
      <c r="I13" s="90">
        <v>18.0</v>
      </c>
      <c r="J13" s="91" t="s">
        <v>32</v>
      </c>
      <c r="K13" s="85" t="s">
        <v>32</v>
      </c>
      <c r="L13" s="85" t="s">
        <v>32</v>
      </c>
      <c r="M13" s="83">
        <f t="shared" si="4"/>
        <v>359</v>
      </c>
      <c r="N13" s="86">
        <f t="shared" si="5"/>
        <v>21.93036042</v>
      </c>
    </row>
    <row r="14">
      <c r="A14" s="98">
        <v>45788.0</v>
      </c>
      <c r="B14" s="104" t="s">
        <v>1190</v>
      </c>
      <c r="C14" s="103" t="s">
        <v>1191</v>
      </c>
      <c r="D14" s="89">
        <v>276.0</v>
      </c>
      <c r="E14" s="105" t="s">
        <v>32</v>
      </c>
      <c r="F14" s="90">
        <v>39.0</v>
      </c>
      <c r="G14" s="106" t="s">
        <v>32</v>
      </c>
      <c r="H14" s="90">
        <v>3.0</v>
      </c>
      <c r="I14" s="90">
        <v>4.0</v>
      </c>
      <c r="J14" s="91" t="s">
        <v>32</v>
      </c>
      <c r="K14" s="85" t="s">
        <v>32</v>
      </c>
      <c r="L14" s="85" t="s">
        <v>32</v>
      </c>
      <c r="M14" s="83">
        <f t="shared" si="4"/>
        <v>46</v>
      </c>
      <c r="N14" s="92" t="str">
        <f t="shared" si="5"/>
        <v>#VALUE!</v>
      </c>
    </row>
    <row r="15">
      <c r="A15" s="98">
        <v>45911.0</v>
      </c>
      <c r="B15" s="104" t="s">
        <v>1190</v>
      </c>
      <c r="C15" s="103" t="s">
        <v>1192</v>
      </c>
      <c r="D15" s="89">
        <v>2248.0</v>
      </c>
      <c r="E15" s="105" t="s">
        <v>32</v>
      </c>
      <c r="F15" s="90">
        <v>139.0</v>
      </c>
      <c r="G15" s="106" t="s">
        <v>32</v>
      </c>
      <c r="H15" s="90">
        <v>5.0</v>
      </c>
      <c r="I15" s="90">
        <v>6.0</v>
      </c>
      <c r="J15" s="91" t="s">
        <v>32</v>
      </c>
      <c r="K15" s="85" t="s">
        <v>32</v>
      </c>
      <c r="L15" s="85" t="s">
        <v>32</v>
      </c>
      <c r="M15" s="107">
        <f t="shared" si="4"/>
        <v>150</v>
      </c>
      <c r="N15" s="108" t="str">
        <f t="shared" si="5"/>
        <v>#VALUE!</v>
      </c>
    </row>
    <row r="16">
      <c r="A16" s="80" t="s">
        <v>1193</v>
      </c>
      <c r="B16" s="99" t="s">
        <v>1194</v>
      </c>
      <c r="C16" s="88" t="s">
        <v>1195</v>
      </c>
      <c r="D16" s="89">
        <v>26181.0</v>
      </c>
      <c r="E16" s="89">
        <v>7800.0</v>
      </c>
      <c r="F16" s="90">
        <v>980.0</v>
      </c>
      <c r="G16" s="90">
        <v>26.0</v>
      </c>
      <c r="H16" s="90">
        <v>699.0</v>
      </c>
      <c r="I16" s="90">
        <v>829.0</v>
      </c>
      <c r="J16" s="91" t="s">
        <v>32</v>
      </c>
      <c r="K16" s="85" t="s">
        <v>32</v>
      </c>
      <c r="L16" s="85" t="s">
        <v>32</v>
      </c>
      <c r="M16" s="83">
        <f t="shared" si="4"/>
        <v>2534</v>
      </c>
      <c r="N16" s="86">
        <f t="shared" si="5"/>
        <v>32.48717949</v>
      </c>
    </row>
    <row r="17">
      <c r="A17" s="80" t="s">
        <v>1196</v>
      </c>
      <c r="B17" s="99" t="s">
        <v>1197</v>
      </c>
      <c r="C17" s="103" t="s">
        <v>1198</v>
      </c>
      <c r="D17" s="89">
        <v>14746.0</v>
      </c>
      <c r="E17" s="105" t="s">
        <v>32</v>
      </c>
      <c r="F17" s="90">
        <v>751.0</v>
      </c>
      <c r="G17" s="90">
        <v>18.0</v>
      </c>
      <c r="H17" s="90">
        <v>745.0</v>
      </c>
      <c r="I17" s="90">
        <v>206.0</v>
      </c>
      <c r="J17" s="91" t="s">
        <v>32</v>
      </c>
      <c r="K17" s="85" t="s">
        <v>32</v>
      </c>
      <c r="L17" s="85" t="s">
        <v>32</v>
      </c>
      <c r="M17" s="107">
        <f t="shared" si="4"/>
        <v>1720</v>
      </c>
      <c r="N17" s="108" t="str">
        <f t="shared" si="5"/>
        <v>#VALUE!</v>
      </c>
    </row>
    <row r="18">
      <c r="A18" s="80" t="s">
        <v>1199</v>
      </c>
      <c r="B18" s="104" t="s">
        <v>1190</v>
      </c>
      <c r="C18" s="88" t="s">
        <v>1200</v>
      </c>
      <c r="D18" s="89">
        <v>2301.0</v>
      </c>
      <c r="E18" s="89">
        <v>1283.0</v>
      </c>
      <c r="F18" s="90">
        <v>336.0</v>
      </c>
      <c r="G18" s="90">
        <v>5.0</v>
      </c>
      <c r="H18" s="90">
        <v>1.0</v>
      </c>
      <c r="I18" s="90">
        <v>22.0</v>
      </c>
      <c r="J18" s="91" t="s">
        <v>32</v>
      </c>
      <c r="K18" s="85" t="s">
        <v>32</v>
      </c>
      <c r="L18" s="85" t="s">
        <v>32</v>
      </c>
      <c r="M18" s="107">
        <f t="shared" si="4"/>
        <v>364</v>
      </c>
      <c r="N18" s="109">
        <f t="shared" si="5"/>
        <v>28.37100546</v>
      </c>
    </row>
    <row r="19">
      <c r="A19" s="80" t="s">
        <v>1201</v>
      </c>
      <c r="B19" s="104" t="s">
        <v>1202</v>
      </c>
      <c r="C19" s="103" t="s">
        <v>1203</v>
      </c>
      <c r="D19" s="89">
        <v>4969.0</v>
      </c>
      <c r="E19" s="89">
        <v>3555.0</v>
      </c>
      <c r="F19" s="90">
        <v>156.0</v>
      </c>
      <c r="G19" s="90">
        <v>9.0</v>
      </c>
      <c r="H19" s="90">
        <v>22.0</v>
      </c>
      <c r="I19" s="90">
        <v>48.0</v>
      </c>
      <c r="J19" s="91" t="s">
        <v>32</v>
      </c>
      <c r="K19" s="85" t="s">
        <v>32</v>
      </c>
      <c r="L19" s="85" t="s">
        <v>32</v>
      </c>
      <c r="M19" s="107">
        <f t="shared" si="4"/>
        <v>235</v>
      </c>
      <c r="N19" s="109">
        <f t="shared" si="5"/>
        <v>6.610407876</v>
      </c>
    </row>
    <row r="20">
      <c r="A20" s="80" t="s">
        <v>1201</v>
      </c>
      <c r="B20" s="104" t="s">
        <v>1202</v>
      </c>
      <c r="C20" s="103" t="s">
        <v>1204</v>
      </c>
      <c r="D20" s="89">
        <v>421.0</v>
      </c>
      <c r="E20" s="105" t="s">
        <v>32</v>
      </c>
      <c r="F20" s="90">
        <v>22.0</v>
      </c>
      <c r="G20" s="90">
        <v>2.0</v>
      </c>
      <c r="H20" s="90">
        <v>5.0</v>
      </c>
      <c r="I20" s="90">
        <v>3.0</v>
      </c>
      <c r="J20" s="91" t="s">
        <v>32</v>
      </c>
      <c r="K20" s="85" t="s">
        <v>32</v>
      </c>
      <c r="L20" s="85" t="s">
        <v>32</v>
      </c>
      <c r="M20" s="107">
        <f t="shared" si="4"/>
        <v>32</v>
      </c>
      <c r="N20" s="108" t="str">
        <f t="shared" si="5"/>
        <v>#VALUE!</v>
      </c>
    </row>
    <row r="21">
      <c r="A21" s="80" t="s">
        <v>1205</v>
      </c>
      <c r="B21" s="104" t="s">
        <v>1190</v>
      </c>
      <c r="C21" s="103" t="s">
        <v>1206</v>
      </c>
      <c r="D21" s="89">
        <v>12339.0</v>
      </c>
      <c r="E21" s="105" t="s">
        <v>32</v>
      </c>
      <c r="F21" s="90">
        <v>127.0</v>
      </c>
      <c r="G21" s="90">
        <v>2.0</v>
      </c>
      <c r="H21" s="90">
        <v>2.0</v>
      </c>
      <c r="I21" s="90">
        <v>8.0</v>
      </c>
      <c r="J21" s="91" t="s">
        <v>32</v>
      </c>
      <c r="K21" s="85" t="s">
        <v>32</v>
      </c>
      <c r="L21" s="85" t="s">
        <v>32</v>
      </c>
      <c r="M21" s="107">
        <f t="shared" si="4"/>
        <v>139</v>
      </c>
      <c r="N21" s="108" t="str">
        <f t="shared" si="5"/>
        <v>#VALUE!</v>
      </c>
    </row>
    <row r="22">
      <c r="A22" s="93" t="s">
        <v>1207</v>
      </c>
      <c r="B22" s="94"/>
      <c r="C22" s="95"/>
      <c r="D22" s="96">
        <f t="shared" ref="D22:M22" si="6">sum(D10:D21)</f>
        <v>149418</v>
      </c>
      <c r="E22" s="96">
        <f t="shared" si="6"/>
        <v>107220</v>
      </c>
      <c r="F22" s="96">
        <f t="shared" si="6"/>
        <v>3950</v>
      </c>
      <c r="G22" s="96">
        <f t="shared" si="6"/>
        <v>86</v>
      </c>
      <c r="H22" s="96">
        <f t="shared" si="6"/>
        <v>1581</v>
      </c>
      <c r="I22" s="96">
        <f t="shared" si="6"/>
        <v>1363</v>
      </c>
      <c r="J22" s="96">
        <f t="shared" si="6"/>
        <v>0</v>
      </c>
      <c r="K22" s="96">
        <f t="shared" si="6"/>
        <v>0</v>
      </c>
      <c r="L22" s="96">
        <f t="shared" si="6"/>
        <v>0</v>
      </c>
      <c r="M22" s="96">
        <f t="shared" si="6"/>
        <v>6980</v>
      </c>
      <c r="N22" s="97">
        <f t="shared" si="5"/>
        <v>6.509979481</v>
      </c>
    </row>
    <row r="23">
      <c r="A23" s="74"/>
      <c r="B23" s="74"/>
      <c r="C23" s="74"/>
      <c r="D23" s="74"/>
      <c r="E23" s="74"/>
      <c r="F23" s="74"/>
      <c r="G23" s="74"/>
      <c r="H23" s="74"/>
      <c r="I23" s="74"/>
      <c r="J23" s="74"/>
      <c r="K23" s="74"/>
      <c r="L23" s="74"/>
      <c r="M23" s="74"/>
      <c r="N23" s="74"/>
    </row>
    <row r="24">
      <c r="A24" s="74"/>
      <c r="B24" s="74"/>
      <c r="C24" s="74"/>
      <c r="D24" s="74"/>
      <c r="E24" s="74"/>
      <c r="F24" s="74"/>
      <c r="G24" s="74"/>
      <c r="H24" s="74"/>
      <c r="I24" s="74"/>
      <c r="J24" s="74"/>
      <c r="K24" s="74"/>
      <c r="L24" s="74"/>
      <c r="M24" s="74"/>
      <c r="N24" s="74"/>
    </row>
    <row r="25">
      <c r="A25" s="73" t="s">
        <v>1208</v>
      </c>
      <c r="B25" s="74"/>
      <c r="C25" s="74"/>
      <c r="D25" s="74"/>
      <c r="E25" s="74"/>
      <c r="F25" s="74"/>
      <c r="G25" s="74"/>
      <c r="H25" s="74"/>
      <c r="I25" s="74"/>
      <c r="J25" s="74"/>
      <c r="K25" s="74"/>
      <c r="L25" s="74"/>
      <c r="M25" s="74"/>
      <c r="N25" s="74"/>
    </row>
    <row r="26">
      <c r="A26" s="75" t="s">
        <v>1162</v>
      </c>
      <c r="B26" s="76" t="s">
        <v>1163</v>
      </c>
      <c r="C26" s="77" t="s">
        <v>1164</v>
      </c>
      <c r="D26" s="78" t="s">
        <v>1165</v>
      </c>
      <c r="E26" s="78" t="s">
        <v>1166</v>
      </c>
      <c r="F26" s="78" t="s">
        <v>1167</v>
      </c>
      <c r="G26" s="78" t="s">
        <v>1168</v>
      </c>
      <c r="H26" s="78" t="s">
        <v>1169</v>
      </c>
      <c r="I26" s="78" t="s">
        <v>1170</v>
      </c>
      <c r="J26" s="78" t="s">
        <v>1171</v>
      </c>
      <c r="K26" s="78" t="s">
        <v>1172</v>
      </c>
      <c r="L26" s="78" t="s">
        <v>1173</v>
      </c>
      <c r="M26" s="78" t="s">
        <v>1174</v>
      </c>
      <c r="N26" s="79" t="s">
        <v>1175</v>
      </c>
    </row>
    <row r="27">
      <c r="A27" s="110">
        <v>46034.0</v>
      </c>
      <c r="B27" s="111" t="s">
        <v>1202</v>
      </c>
      <c r="C27" s="100" t="s">
        <v>1209</v>
      </c>
      <c r="D27" s="83">
        <v>48266.0</v>
      </c>
      <c r="E27" s="83">
        <v>39381.0</v>
      </c>
      <c r="F27" s="84">
        <v>2146.0</v>
      </c>
      <c r="G27" s="84">
        <v>52.0</v>
      </c>
      <c r="H27" s="84">
        <v>1189.0</v>
      </c>
      <c r="I27" s="84">
        <v>1727.0</v>
      </c>
      <c r="J27" s="85" t="s">
        <v>32</v>
      </c>
      <c r="K27" s="85" t="s">
        <v>32</v>
      </c>
      <c r="L27" s="85" t="s">
        <v>32</v>
      </c>
      <c r="M27" s="83">
        <f t="shared" ref="M27:M28" si="7">SUM(F27:L27)</f>
        <v>5114</v>
      </c>
      <c r="N27" s="86">
        <f t="shared" ref="N27:N29" si="8">M27/E27*100</f>
        <v>12.9859577</v>
      </c>
    </row>
    <row r="28">
      <c r="A28" s="110">
        <v>46034.0</v>
      </c>
      <c r="B28" s="112" t="s">
        <v>1202</v>
      </c>
      <c r="C28" s="103" t="s">
        <v>1210</v>
      </c>
      <c r="D28" s="89">
        <v>47849.0</v>
      </c>
      <c r="E28" s="105" t="s">
        <v>32</v>
      </c>
      <c r="F28" s="90">
        <v>4284.0</v>
      </c>
      <c r="G28" s="90">
        <v>39.0</v>
      </c>
      <c r="H28" s="90">
        <v>2135.0</v>
      </c>
      <c r="I28" s="90">
        <v>1208.0</v>
      </c>
      <c r="J28" s="91" t="s">
        <v>32</v>
      </c>
      <c r="K28" s="85" t="s">
        <v>32</v>
      </c>
      <c r="L28" s="85" t="s">
        <v>32</v>
      </c>
      <c r="M28" s="83">
        <f t="shared" si="7"/>
        <v>7666</v>
      </c>
      <c r="N28" s="92" t="str">
        <f t="shared" si="8"/>
        <v>#VALUE!</v>
      </c>
    </row>
    <row r="29">
      <c r="A29" s="93" t="s">
        <v>1211</v>
      </c>
      <c r="B29" s="94"/>
      <c r="C29" s="95"/>
      <c r="D29" s="96">
        <f t="shared" ref="D29:I29" si="9">sum(D27:D28)</f>
        <v>96115</v>
      </c>
      <c r="E29" s="96">
        <f t="shared" si="9"/>
        <v>39381</v>
      </c>
      <c r="F29" s="96">
        <f t="shared" si="9"/>
        <v>6430</v>
      </c>
      <c r="G29" s="96">
        <f t="shared" si="9"/>
        <v>91</v>
      </c>
      <c r="H29" s="96">
        <f t="shared" si="9"/>
        <v>3324</v>
      </c>
      <c r="I29" s="96">
        <f t="shared" si="9"/>
        <v>2935</v>
      </c>
      <c r="J29" s="113"/>
      <c r="K29" s="113"/>
      <c r="L29" s="113"/>
      <c r="M29" s="96">
        <f>sum(M27:M28)</f>
        <v>12780</v>
      </c>
      <c r="N29" s="97">
        <f t="shared" si="8"/>
        <v>32.45219776</v>
      </c>
    </row>
  </sheetData>
  <mergeCells count="3">
    <mergeCell ref="A5:C5"/>
    <mergeCell ref="A22:C22"/>
    <mergeCell ref="A29:C29"/>
  </mergeCells>
  <hyperlinks>
    <hyperlink r:id="rId1" ref="B3"/>
    <hyperlink r:id="rId2" ref="C3"/>
    <hyperlink r:id="rId3" ref="B4"/>
    <hyperlink r:id="rId4" ref="C4"/>
    <hyperlink r:id="rId5" ref="B10"/>
    <hyperlink r:id="rId6" ref="C10"/>
    <hyperlink r:id="rId7" ref="B11"/>
    <hyperlink r:id="rId8" ref="C11"/>
    <hyperlink r:id="rId9" ref="B12"/>
    <hyperlink r:id="rId10" ref="C12"/>
    <hyperlink r:id="rId11" ref="B13"/>
    <hyperlink r:id="rId12" ref="C13"/>
    <hyperlink r:id="rId13" ref="B14"/>
    <hyperlink r:id="rId14" ref="C14"/>
    <hyperlink r:id="rId15" ref="B15"/>
    <hyperlink r:id="rId16" ref="C15"/>
    <hyperlink r:id="rId17" ref="B16"/>
    <hyperlink r:id="rId18" ref="C16"/>
    <hyperlink r:id="rId19" ref="B17"/>
    <hyperlink r:id="rId20" ref="C17"/>
    <hyperlink r:id="rId21" ref="B18"/>
    <hyperlink r:id="rId22" ref="C18"/>
    <hyperlink r:id="rId23" ref="B19"/>
    <hyperlink r:id="rId24" ref="C19"/>
    <hyperlink r:id="rId25" ref="B20"/>
    <hyperlink r:id="rId26" ref="C20"/>
    <hyperlink r:id="rId27" ref="B21"/>
    <hyperlink r:id="rId28" ref="C21"/>
    <hyperlink r:id="rId29" ref="B27"/>
    <hyperlink r:id="rId30" ref="C27"/>
    <hyperlink r:id="rId31" ref="C28"/>
  </hyperlinks>
  <drawing r:id="rId3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14" t="s">
        <v>1212</v>
      </c>
      <c r="B1" s="115" t="s">
        <v>1213</v>
      </c>
      <c r="C1" s="114" t="s">
        <v>1214</v>
      </c>
      <c r="D1" s="116" t="s">
        <v>1215</v>
      </c>
      <c r="E1" s="114" t="s">
        <v>1216</v>
      </c>
      <c r="F1" s="117" t="s">
        <v>1217</v>
      </c>
      <c r="G1" s="118"/>
      <c r="H1" s="118"/>
      <c r="I1" s="118"/>
      <c r="J1" s="118"/>
      <c r="K1" s="118"/>
      <c r="L1" s="118"/>
      <c r="M1" s="118"/>
      <c r="N1" s="118"/>
      <c r="O1" s="118"/>
      <c r="P1" s="4"/>
    </row>
    <row r="2">
      <c r="A2" s="10"/>
      <c r="B2" s="10"/>
      <c r="C2" s="10"/>
      <c r="D2" s="10"/>
      <c r="E2" s="10"/>
      <c r="F2" s="119" t="s">
        <v>1165</v>
      </c>
      <c r="G2" s="119" t="s">
        <v>1218</v>
      </c>
      <c r="H2" s="120" t="s">
        <v>1167</v>
      </c>
      <c r="I2" s="120" t="s">
        <v>1168</v>
      </c>
      <c r="J2" s="120" t="s">
        <v>1169</v>
      </c>
      <c r="K2" s="120" t="s">
        <v>1170</v>
      </c>
      <c r="L2" s="120" t="s">
        <v>1171</v>
      </c>
      <c r="M2" s="120" t="s">
        <v>1172</v>
      </c>
      <c r="N2" s="120" t="s">
        <v>1219</v>
      </c>
      <c r="O2" s="120" t="s">
        <v>1174</v>
      </c>
      <c r="P2" s="120" t="s">
        <v>1220</v>
      </c>
    </row>
    <row r="3">
      <c r="A3" s="121" t="s">
        <v>1221</v>
      </c>
      <c r="B3" s="122"/>
      <c r="C3" s="123"/>
      <c r="D3" s="123"/>
      <c r="E3" s="123"/>
      <c r="F3" s="124"/>
      <c r="G3" s="124"/>
      <c r="H3" s="124"/>
      <c r="I3" s="124"/>
      <c r="J3" s="124"/>
      <c r="K3" s="124"/>
      <c r="L3" s="124"/>
      <c r="M3" s="124"/>
      <c r="N3" s="124"/>
      <c r="O3" s="124"/>
      <c r="P3" s="125"/>
    </row>
    <row r="4">
      <c r="A4" s="126" t="s">
        <v>1222</v>
      </c>
      <c r="B4" s="127"/>
      <c r="C4" s="128"/>
      <c r="D4" s="128"/>
      <c r="E4" s="128"/>
      <c r="F4" s="129"/>
      <c r="G4" s="129"/>
      <c r="H4" s="129"/>
      <c r="I4" s="129"/>
      <c r="J4" s="129"/>
      <c r="K4" s="129"/>
      <c r="L4" s="129"/>
      <c r="M4" s="129"/>
      <c r="N4" s="129"/>
      <c r="O4" s="129"/>
      <c r="P4" s="130"/>
    </row>
    <row r="5">
      <c r="A5" s="131"/>
      <c r="B5" s="132"/>
      <c r="C5" s="133"/>
      <c r="D5" s="133"/>
      <c r="E5" s="133"/>
      <c r="F5" s="134"/>
      <c r="G5" s="134"/>
      <c r="H5" s="134"/>
      <c r="I5" s="134"/>
      <c r="J5" s="134"/>
      <c r="K5" s="134"/>
      <c r="L5" s="134"/>
      <c r="M5" s="134"/>
      <c r="N5" s="134"/>
      <c r="O5" s="135">
        <f>sum(H5:N5)</f>
        <v>0</v>
      </c>
      <c r="P5" s="136" t="str">
        <f>O5/G5*100</f>
        <v>#DIV/0!</v>
      </c>
    </row>
    <row r="6">
      <c r="A6" s="131"/>
      <c r="B6" s="132"/>
      <c r="C6" s="133"/>
      <c r="D6" s="133"/>
      <c r="E6" s="133"/>
      <c r="F6" s="134"/>
      <c r="G6" s="134"/>
      <c r="H6" s="134"/>
      <c r="I6" s="134"/>
      <c r="J6" s="134"/>
      <c r="K6" s="134"/>
      <c r="L6" s="134"/>
      <c r="M6" s="134"/>
      <c r="N6" s="134"/>
      <c r="O6" s="134"/>
      <c r="P6" s="137"/>
    </row>
    <row r="7">
      <c r="A7" s="126" t="s">
        <v>1223</v>
      </c>
      <c r="B7" s="127"/>
      <c r="C7" s="128"/>
      <c r="D7" s="128"/>
      <c r="E7" s="128"/>
      <c r="F7" s="129"/>
      <c r="G7" s="129"/>
      <c r="H7" s="129"/>
      <c r="I7" s="129"/>
      <c r="J7" s="129"/>
      <c r="K7" s="129"/>
      <c r="L7" s="129"/>
      <c r="M7" s="129"/>
      <c r="N7" s="129"/>
      <c r="O7" s="129"/>
      <c r="P7" s="130"/>
    </row>
    <row r="8">
      <c r="A8" s="131"/>
      <c r="B8" s="132"/>
      <c r="C8" s="133"/>
      <c r="D8" s="133"/>
      <c r="E8" s="133"/>
      <c r="F8" s="134"/>
      <c r="G8" s="134"/>
      <c r="H8" s="134"/>
      <c r="I8" s="134"/>
      <c r="J8" s="134"/>
      <c r="K8" s="134"/>
      <c r="L8" s="134"/>
      <c r="M8" s="134"/>
      <c r="N8" s="134"/>
      <c r="O8" s="135">
        <f>sum(H8:N8)</f>
        <v>0</v>
      </c>
      <c r="P8" s="136" t="str">
        <f>O8/G8*100</f>
        <v>#DIV/0!</v>
      </c>
    </row>
    <row r="9">
      <c r="A9" s="131"/>
      <c r="B9" s="133"/>
      <c r="C9" s="133"/>
      <c r="D9" s="133"/>
      <c r="E9" s="133"/>
      <c r="F9" s="134"/>
      <c r="G9" s="134"/>
      <c r="H9" s="134"/>
      <c r="I9" s="134"/>
      <c r="J9" s="134"/>
      <c r="K9" s="134"/>
      <c r="L9" s="134"/>
      <c r="M9" s="134"/>
      <c r="N9" s="134"/>
      <c r="O9" s="134"/>
      <c r="P9" s="137"/>
    </row>
    <row r="10">
      <c r="A10" s="126" t="s">
        <v>1224</v>
      </c>
      <c r="B10" s="127"/>
      <c r="C10" s="128"/>
      <c r="D10" s="128"/>
      <c r="E10" s="128"/>
      <c r="F10" s="129"/>
      <c r="G10" s="129"/>
      <c r="H10" s="129"/>
      <c r="I10" s="129"/>
      <c r="J10" s="129"/>
      <c r="K10" s="129"/>
      <c r="L10" s="129"/>
      <c r="M10" s="129"/>
      <c r="N10" s="129"/>
      <c r="O10" s="129"/>
      <c r="P10" s="130"/>
    </row>
    <row r="11">
      <c r="A11" s="138" t="s">
        <v>1225</v>
      </c>
      <c r="B11" s="132">
        <v>45772.0</v>
      </c>
      <c r="C11" s="138" t="s">
        <v>19</v>
      </c>
      <c r="D11" s="139">
        <v>1.0</v>
      </c>
      <c r="E11" s="140" t="s">
        <v>1226</v>
      </c>
      <c r="F11" s="141">
        <v>3242.0</v>
      </c>
      <c r="G11" s="141">
        <v>775.0</v>
      </c>
      <c r="H11" s="142">
        <v>350.0</v>
      </c>
      <c r="I11" s="142">
        <v>41.0</v>
      </c>
      <c r="J11" s="142">
        <v>39.0</v>
      </c>
      <c r="K11" s="142">
        <v>38.0</v>
      </c>
      <c r="L11" s="143" t="s">
        <v>32</v>
      </c>
      <c r="M11" s="143" t="s">
        <v>32</v>
      </c>
      <c r="N11" s="143" t="s">
        <v>32</v>
      </c>
      <c r="O11" s="141">
        <f t="shared" ref="O11:O14" si="1">SUM(H11:N11)</f>
        <v>468</v>
      </c>
      <c r="P11" s="144">
        <f t="shared" ref="P11:P14" si="2">O11/G11*100</f>
        <v>60.38709677</v>
      </c>
    </row>
    <row r="12">
      <c r="A12" s="138" t="s">
        <v>1227</v>
      </c>
      <c r="B12" s="132">
        <v>45777.0</v>
      </c>
      <c r="C12" s="138" t="s">
        <v>19</v>
      </c>
      <c r="D12" s="139">
        <v>1.0</v>
      </c>
      <c r="E12" s="140" t="s">
        <v>1228</v>
      </c>
      <c r="F12" s="141">
        <v>15433.0</v>
      </c>
      <c r="G12" s="141">
        <v>2719.0</v>
      </c>
      <c r="H12" s="142">
        <v>1053.0</v>
      </c>
      <c r="I12" s="142">
        <v>41.0</v>
      </c>
      <c r="J12" s="142">
        <v>41.0</v>
      </c>
      <c r="K12" s="142">
        <v>941.0</v>
      </c>
      <c r="L12" s="143" t="s">
        <v>32</v>
      </c>
      <c r="M12" s="143" t="s">
        <v>32</v>
      </c>
      <c r="N12" s="143" t="s">
        <v>32</v>
      </c>
      <c r="O12" s="141">
        <f t="shared" si="1"/>
        <v>2076</v>
      </c>
      <c r="P12" s="144">
        <f t="shared" si="2"/>
        <v>76.35159985</v>
      </c>
    </row>
    <row r="13">
      <c r="A13" s="145" t="s">
        <v>1229</v>
      </c>
      <c r="B13" s="132">
        <v>45770.0</v>
      </c>
      <c r="C13" s="138" t="s">
        <v>1230</v>
      </c>
      <c r="D13" s="139">
        <v>1.0</v>
      </c>
      <c r="E13" s="146" t="s">
        <v>1231</v>
      </c>
      <c r="F13" s="147">
        <v>1851.0</v>
      </c>
      <c r="G13" s="147">
        <v>1029.0</v>
      </c>
      <c r="H13" s="148">
        <v>406.0</v>
      </c>
      <c r="I13" s="148">
        <v>7.0</v>
      </c>
      <c r="J13" s="148">
        <v>0.0</v>
      </c>
      <c r="K13" s="148">
        <v>121.0</v>
      </c>
      <c r="L13" s="148">
        <v>33.0</v>
      </c>
      <c r="M13" s="149">
        <v>0.0</v>
      </c>
      <c r="N13" s="149">
        <v>0.0</v>
      </c>
      <c r="O13" s="150">
        <f t="shared" si="1"/>
        <v>567</v>
      </c>
      <c r="P13" s="151">
        <f t="shared" si="2"/>
        <v>55.10204082</v>
      </c>
    </row>
    <row r="14">
      <c r="A14" s="145" t="s">
        <v>1232</v>
      </c>
      <c r="B14" s="132">
        <v>45775.0</v>
      </c>
      <c r="C14" s="138" t="s">
        <v>1230</v>
      </c>
      <c r="D14" s="139">
        <v>1.0</v>
      </c>
      <c r="E14" s="146" t="s">
        <v>1233</v>
      </c>
      <c r="F14" s="147">
        <v>2195.0</v>
      </c>
      <c r="G14" s="147">
        <v>1434.0</v>
      </c>
      <c r="H14" s="148">
        <v>397.0</v>
      </c>
      <c r="I14" s="148">
        <v>7.0</v>
      </c>
      <c r="J14" s="148">
        <v>3.0</v>
      </c>
      <c r="K14" s="148">
        <v>20.0</v>
      </c>
      <c r="L14" s="148">
        <v>28.0</v>
      </c>
      <c r="M14" s="149">
        <v>0.0</v>
      </c>
      <c r="N14" s="149">
        <v>0.0</v>
      </c>
      <c r="O14" s="150">
        <f t="shared" si="1"/>
        <v>455</v>
      </c>
      <c r="P14" s="151">
        <f t="shared" si="2"/>
        <v>31.72942817</v>
      </c>
    </row>
    <row r="15">
      <c r="A15" s="131"/>
      <c r="B15" s="133"/>
      <c r="C15" s="133"/>
      <c r="D15" s="133"/>
      <c r="E15" s="133"/>
      <c r="F15" s="134"/>
      <c r="G15" s="134"/>
      <c r="H15" s="134"/>
      <c r="I15" s="134"/>
      <c r="J15" s="134"/>
      <c r="K15" s="134"/>
      <c r="L15" s="134"/>
      <c r="M15" s="134"/>
      <c r="N15" s="134"/>
      <c r="O15" s="134"/>
      <c r="P15" s="137"/>
    </row>
    <row r="16">
      <c r="A16" s="121" t="s">
        <v>1234</v>
      </c>
      <c r="B16" s="123"/>
      <c r="C16" s="123"/>
      <c r="D16" s="123"/>
      <c r="E16" s="123"/>
      <c r="F16" s="124"/>
      <c r="G16" s="124"/>
      <c r="H16" s="124"/>
      <c r="I16" s="124"/>
      <c r="J16" s="124"/>
      <c r="K16" s="124"/>
      <c r="L16" s="124"/>
      <c r="M16" s="124"/>
      <c r="N16" s="124"/>
      <c r="O16" s="124"/>
      <c r="P16" s="152"/>
    </row>
    <row r="17">
      <c r="A17" s="126" t="s">
        <v>1222</v>
      </c>
      <c r="B17" s="127"/>
      <c r="C17" s="128"/>
      <c r="D17" s="128"/>
      <c r="E17" s="128"/>
      <c r="F17" s="129"/>
      <c r="G17" s="129"/>
      <c r="H17" s="129"/>
      <c r="I17" s="129"/>
      <c r="J17" s="129"/>
      <c r="K17" s="129"/>
      <c r="L17" s="129"/>
      <c r="M17" s="129"/>
      <c r="N17" s="129"/>
      <c r="O17" s="129"/>
      <c r="P17" s="130"/>
    </row>
    <row r="18">
      <c r="A18" s="153" t="s">
        <v>1235</v>
      </c>
      <c r="B18" s="154" t="s">
        <v>1236</v>
      </c>
      <c r="C18" s="155" t="s">
        <v>537</v>
      </c>
      <c r="D18" s="154"/>
      <c r="E18" s="154"/>
      <c r="F18" s="156" t="str">
        <f t="shared" ref="F18:H18" si="3">'IGS May'!L76</f>
        <v>#REF!</v>
      </c>
      <c r="G18" s="156" t="str">
        <f t="shared" si="3"/>
        <v>#REF!</v>
      </c>
      <c r="H18" s="156" t="str">
        <f t="shared" si="3"/>
        <v>#REF!</v>
      </c>
      <c r="I18" s="156">
        <v>0.0</v>
      </c>
      <c r="J18" s="156">
        <v>0.0</v>
      </c>
      <c r="K18" s="156" t="str">
        <f t="shared" ref="K18:N18" si="4">'IGS May'!O76</f>
        <v>#REF!</v>
      </c>
      <c r="L18" s="156" t="str">
        <f t="shared" si="4"/>
        <v>#REF!</v>
      </c>
      <c r="M18" s="156" t="str">
        <f t="shared" si="4"/>
        <v>#REF!</v>
      </c>
      <c r="N18" s="156" t="str">
        <f t="shared" si="4"/>
        <v>#REF!</v>
      </c>
      <c r="O18" s="156" t="str">
        <f>sum(H18:N18)</f>
        <v>#REF!</v>
      </c>
      <c r="P18" s="157" t="str">
        <f t="shared" ref="P18:P27" si="5">O18/G18*100</f>
        <v>#REF!</v>
      </c>
    </row>
    <row r="19">
      <c r="A19" s="145" t="s">
        <v>1237</v>
      </c>
      <c r="B19" s="132">
        <v>45783.0</v>
      </c>
      <c r="C19" s="138" t="s">
        <v>19</v>
      </c>
      <c r="D19" s="139">
        <v>1.0</v>
      </c>
      <c r="E19" s="146" t="s">
        <v>1238</v>
      </c>
      <c r="F19" s="150">
        <v>3889.0</v>
      </c>
      <c r="G19" s="150">
        <v>2511.0</v>
      </c>
      <c r="H19" s="149">
        <v>446.0</v>
      </c>
      <c r="I19" s="149">
        <v>1.0</v>
      </c>
      <c r="J19" s="149">
        <v>4.0</v>
      </c>
      <c r="K19" s="149">
        <v>128.0</v>
      </c>
      <c r="L19" s="149">
        <v>0.0</v>
      </c>
      <c r="M19" s="149">
        <v>0.0</v>
      </c>
      <c r="N19" s="149">
        <v>0.0</v>
      </c>
      <c r="O19" s="150">
        <f>SUM(H19:N19)</f>
        <v>579</v>
      </c>
      <c r="P19" s="151">
        <f t="shared" si="5"/>
        <v>23.05854241</v>
      </c>
    </row>
    <row r="20">
      <c r="A20" s="158" t="s">
        <v>1239</v>
      </c>
      <c r="B20" s="159">
        <v>45784.0</v>
      </c>
      <c r="C20" s="160" t="s">
        <v>1240</v>
      </c>
      <c r="D20" s="161">
        <v>1.0</v>
      </c>
      <c r="E20" s="162" t="s">
        <v>1241</v>
      </c>
      <c r="F20" s="163"/>
      <c r="G20" s="163"/>
      <c r="H20" s="163"/>
      <c r="I20" s="163"/>
      <c r="J20" s="163"/>
      <c r="K20" s="163"/>
      <c r="L20" s="163"/>
      <c r="M20" s="163"/>
      <c r="N20" s="163"/>
      <c r="O20" s="164">
        <f>sum(H20:N20)</f>
        <v>0</v>
      </c>
      <c r="P20" s="165" t="str">
        <f t="shared" si="5"/>
        <v>#DIV/0!</v>
      </c>
    </row>
    <row r="21">
      <c r="A21" s="145" t="s">
        <v>1242</v>
      </c>
      <c r="B21" s="132">
        <v>45787.0</v>
      </c>
      <c r="C21" s="138" t="s">
        <v>1243</v>
      </c>
      <c r="D21" s="139">
        <v>1.0</v>
      </c>
      <c r="E21" s="146" t="s">
        <v>1244</v>
      </c>
      <c r="F21" s="150">
        <v>3362.0</v>
      </c>
      <c r="G21" s="150">
        <v>1794.0</v>
      </c>
      <c r="H21" s="149">
        <v>549.0</v>
      </c>
      <c r="I21" s="149">
        <v>11.0</v>
      </c>
      <c r="J21" s="149">
        <v>21.0</v>
      </c>
      <c r="K21" s="149">
        <v>135.0</v>
      </c>
      <c r="L21" s="149">
        <v>48.0</v>
      </c>
      <c r="M21" s="149">
        <v>0.0</v>
      </c>
      <c r="N21" s="149">
        <v>6.0</v>
      </c>
      <c r="O21" s="150">
        <f t="shared" ref="O21:O25" si="6">SUM(H21:N21)</f>
        <v>770</v>
      </c>
      <c r="P21" s="151">
        <f t="shared" si="5"/>
        <v>42.92084727</v>
      </c>
    </row>
    <row r="22">
      <c r="A22" s="158" t="s">
        <v>1245</v>
      </c>
      <c r="B22" s="159">
        <v>45794.0</v>
      </c>
      <c r="C22" s="160" t="s">
        <v>1243</v>
      </c>
      <c r="D22" s="161">
        <v>1.0</v>
      </c>
      <c r="E22" s="162" t="s">
        <v>1246</v>
      </c>
      <c r="F22" s="166">
        <v>5816.0</v>
      </c>
      <c r="G22" s="166">
        <v>2634.0</v>
      </c>
      <c r="H22" s="167">
        <v>540.0</v>
      </c>
      <c r="I22" s="167">
        <v>6.0</v>
      </c>
      <c r="J22" s="167">
        <v>3.0</v>
      </c>
      <c r="K22" s="167">
        <v>154.0</v>
      </c>
      <c r="L22" s="167">
        <v>63.0</v>
      </c>
      <c r="M22" s="167">
        <v>0.0</v>
      </c>
      <c r="N22" s="167">
        <v>3.0</v>
      </c>
      <c r="O22" s="166">
        <f t="shared" si="6"/>
        <v>769</v>
      </c>
      <c r="P22" s="168">
        <f t="shared" si="5"/>
        <v>29.19514047</v>
      </c>
    </row>
    <row r="23">
      <c r="A23" s="145" t="s">
        <v>1247</v>
      </c>
      <c r="B23" s="132">
        <v>45795.0</v>
      </c>
      <c r="C23" s="138" t="s">
        <v>19</v>
      </c>
      <c r="D23" s="139">
        <v>1.0</v>
      </c>
      <c r="E23" s="146" t="s">
        <v>1248</v>
      </c>
      <c r="F23" s="147">
        <v>4022.0</v>
      </c>
      <c r="G23" s="147">
        <v>2392.0</v>
      </c>
      <c r="H23" s="148">
        <v>497.0</v>
      </c>
      <c r="I23" s="148">
        <v>4.0</v>
      </c>
      <c r="J23" s="148">
        <v>2.0</v>
      </c>
      <c r="K23" s="148">
        <v>106.0</v>
      </c>
      <c r="L23" s="148">
        <v>0.0</v>
      </c>
      <c r="M23" s="149">
        <v>0.0</v>
      </c>
      <c r="N23" s="149">
        <v>0.0</v>
      </c>
      <c r="O23" s="150">
        <f t="shared" si="6"/>
        <v>609</v>
      </c>
      <c r="P23" s="151">
        <f t="shared" si="5"/>
        <v>25.45986622</v>
      </c>
    </row>
    <row r="24">
      <c r="A24" s="145" t="s">
        <v>1249</v>
      </c>
      <c r="B24" s="132">
        <v>45796.0</v>
      </c>
      <c r="C24" s="138" t="s">
        <v>1243</v>
      </c>
      <c r="D24" s="139">
        <v>1.0</v>
      </c>
      <c r="E24" s="146" t="s">
        <v>1250</v>
      </c>
      <c r="F24" s="147">
        <v>3226.0</v>
      </c>
      <c r="G24" s="147">
        <v>1558.0</v>
      </c>
      <c r="H24" s="148">
        <v>494.0</v>
      </c>
      <c r="I24" s="148">
        <v>16.0</v>
      </c>
      <c r="J24" s="148">
        <v>4.0</v>
      </c>
      <c r="K24" s="148">
        <v>152.0</v>
      </c>
      <c r="L24" s="148">
        <v>55.0</v>
      </c>
      <c r="M24" s="149">
        <v>0.0</v>
      </c>
      <c r="N24" s="149">
        <v>5.0</v>
      </c>
      <c r="O24" s="150">
        <f t="shared" si="6"/>
        <v>726</v>
      </c>
      <c r="P24" s="151">
        <f t="shared" si="5"/>
        <v>46.59820282</v>
      </c>
    </row>
    <row r="25">
      <c r="A25" s="145" t="s">
        <v>1251</v>
      </c>
      <c r="B25" s="132">
        <v>45799.0</v>
      </c>
      <c r="C25" s="169" t="s">
        <v>1240</v>
      </c>
      <c r="D25" s="139">
        <v>1.0</v>
      </c>
      <c r="E25" s="146" t="s">
        <v>1252</v>
      </c>
      <c r="F25" s="147">
        <v>286663.0</v>
      </c>
      <c r="G25" s="147">
        <v>144852.0</v>
      </c>
      <c r="H25" s="148">
        <v>895.0</v>
      </c>
      <c r="I25" s="148">
        <v>243.0</v>
      </c>
      <c r="J25" s="148">
        <v>108.0</v>
      </c>
      <c r="K25" s="148">
        <v>336.0</v>
      </c>
      <c r="L25" s="148">
        <v>2032.0</v>
      </c>
      <c r="M25" s="149">
        <v>0.0</v>
      </c>
      <c r="N25" s="149">
        <v>2171.0</v>
      </c>
      <c r="O25" s="150">
        <f t="shared" si="6"/>
        <v>5785</v>
      </c>
      <c r="P25" s="151">
        <f t="shared" si="5"/>
        <v>3.993731533</v>
      </c>
    </row>
    <row r="26">
      <c r="A26" s="145" t="s">
        <v>1253</v>
      </c>
      <c r="B26" s="132">
        <v>45800.0</v>
      </c>
      <c r="C26" s="138" t="s">
        <v>1243</v>
      </c>
      <c r="D26" s="139">
        <v>1.0</v>
      </c>
      <c r="E26" s="146" t="s">
        <v>1254</v>
      </c>
      <c r="F26" s="135">
        <v>44354.0</v>
      </c>
      <c r="G26" s="135">
        <v>22547.0</v>
      </c>
      <c r="H26" s="135">
        <v>363.0</v>
      </c>
      <c r="I26" s="135">
        <v>336.0</v>
      </c>
      <c r="J26" s="135">
        <v>10.0</v>
      </c>
      <c r="K26" s="135">
        <v>8.0</v>
      </c>
      <c r="L26" s="135">
        <v>0.0</v>
      </c>
      <c r="M26" s="135">
        <v>0.0</v>
      </c>
      <c r="N26" s="135">
        <v>0.0</v>
      </c>
      <c r="O26" s="135">
        <f>sum(H26:N26)</f>
        <v>717</v>
      </c>
      <c r="P26" s="170">
        <f t="shared" si="5"/>
        <v>3.18002395</v>
      </c>
    </row>
    <row r="27">
      <c r="A27" s="145" t="s">
        <v>1255</v>
      </c>
      <c r="B27" s="132">
        <v>45807.0</v>
      </c>
      <c r="C27" s="138" t="s">
        <v>1243</v>
      </c>
      <c r="D27" s="139">
        <v>1.0</v>
      </c>
      <c r="E27" s="146" t="s">
        <v>1256</v>
      </c>
      <c r="F27" s="147">
        <v>3637.0</v>
      </c>
      <c r="G27" s="147">
        <v>1933.0</v>
      </c>
      <c r="H27" s="148">
        <v>160.0</v>
      </c>
      <c r="I27" s="148">
        <v>19.0</v>
      </c>
      <c r="J27" s="148">
        <v>0.0</v>
      </c>
      <c r="K27" s="148">
        <v>5.0</v>
      </c>
      <c r="L27" s="148">
        <v>80.0</v>
      </c>
      <c r="M27" s="149">
        <v>0.0</v>
      </c>
      <c r="N27" s="149">
        <v>2.0</v>
      </c>
      <c r="O27" s="150">
        <f>SUM(H27:N27)</f>
        <v>266</v>
      </c>
      <c r="P27" s="151">
        <f t="shared" si="5"/>
        <v>13.76099327</v>
      </c>
    </row>
    <row r="28">
      <c r="A28" s="131"/>
      <c r="B28" s="132"/>
      <c r="C28" s="133"/>
      <c r="D28" s="133"/>
      <c r="E28" s="133"/>
      <c r="F28" s="134"/>
      <c r="G28" s="134"/>
      <c r="H28" s="134"/>
      <c r="I28" s="134"/>
      <c r="J28" s="134"/>
      <c r="K28" s="134"/>
      <c r="L28" s="134"/>
      <c r="M28" s="134"/>
      <c r="N28" s="134"/>
      <c r="O28" s="134"/>
      <c r="P28" s="137"/>
    </row>
    <row r="29">
      <c r="A29" s="131"/>
      <c r="B29" s="132"/>
      <c r="C29" s="133"/>
      <c r="D29" s="133"/>
      <c r="E29" s="133"/>
      <c r="F29" s="134"/>
      <c r="G29" s="134"/>
      <c r="H29" s="134"/>
      <c r="I29" s="134"/>
      <c r="J29" s="134"/>
      <c r="K29" s="134"/>
      <c r="L29" s="134"/>
      <c r="M29" s="134"/>
      <c r="N29" s="134"/>
      <c r="O29" s="134"/>
      <c r="P29" s="137"/>
    </row>
    <row r="30">
      <c r="A30" s="126" t="s">
        <v>1257</v>
      </c>
      <c r="B30" s="127"/>
      <c r="C30" s="128"/>
      <c r="D30" s="128"/>
      <c r="E30" s="128"/>
      <c r="F30" s="129"/>
      <c r="G30" s="129"/>
      <c r="H30" s="129"/>
      <c r="I30" s="129"/>
      <c r="J30" s="129"/>
      <c r="K30" s="129"/>
      <c r="L30" s="129"/>
      <c r="M30" s="129"/>
      <c r="N30" s="129"/>
      <c r="O30" s="129"/>
      <c r="P30" s="130"/>
    </row>
    <row r="31">
      <c r="A31" s="145" t="s">
        <v>1239</v>
      </c>
      <c r="B31" s="132">
        <v>45784.0</v>
      </c>
      <c r="C31" s="138" t="s">
        <v>1258</v>
      </c>
      <c r="D31" s="139">
        <v>1.0</v>
      </c>
      <c r="E31" s="146" t="s">
        <v>1259</v>
      </c>
      <c r="F31" s="135">
        <v>287868.0</v>
      </c>
      <c r="G31" s="135">
        <v>2106.0</v>
      </c>
      <c r="H31" s="135">
        <v>59.0</v>
      </c>
      <c r="I31" s="135">
        <v>0.0</v>
      </c>
      <c r="J31" s="135">
        <v>0.0</v>
      </c>
      <c r="K31" s="135">
        <v>8.0</v>
      </c>
      <c r="L31" s="135">
        <v>0.0</v>
      </c>
      <c r="M31" s="135">
        <v>0.0</v>
      </c>
      <c r="N31" s="135">
        <v>2186.0</v>
      </c>
      <c r="O31" s="135">
        <f t="shared" ref="O31:O37" si="7">sum(H31:N31)</f>
        <v>2253</v>
      </c>
      <c r="P31" s="136">
        <f t="shared" ref="P31:P37" si="8">O31/G31*100</f>
        <v>106.980057</v>
      </c>
    </row>
    <row r="32">
      <c r="A32" s="145" t="s">
        <v>1242</v>
      </c>
      <c r="B32" s="132">
        <v>45787.0</v>
      </c>
      <c r="C32" s="138" t="s">
        <v>1260</v>
      </c>
      <c r="D32" s="139">
        <v>1.0</v>
      </c>
      <c r="E32" s="146" t="s">
        <v>1261</v>
      </c>
      <c r="F32" s="135">
        <v>2035.0</v>
      </c>
      <c r="G32" s="135">
        <v>1281.0</v>
      </c>
      <c r="H32" s="135">
        <v>17.0</v>
      </c>
      <c r="I32" s="135">
        <v>0.0</v>
      </c>
      <c r="J32" s="135">
        <v>0.0</v>
      </c>
      <c r="K32" s="135">
        <v>1.0</v>
      </c>
      <c r="L32" s="135">
        <v>0.0</v>
      </c>
      <c r="M32" s="135">
        <v>0.0</v>
      </c>
      <c r="N32" s="135">
        <v>489.0</v>
      </c>
      <c r="O32" s="135">
        <f t="shared" si="7"/>
        <v>507</v>
      </c>
      <c r="P32" s="136">
        <f t="shared" si="8"/>
        <v>39.57845433</v>
      </c>
    </row>
    <row r="33">
      <c r="A33" s="145" t="s">
        <v>1245</v>
      </c>
      <c r="B33" s="132">
        <v>45794.0</v>
      </c>
      <c r="C33" s="138" t="s">
        <v>1260</v>
      </c>
      <c r="D33" s="139">
        <v>1.0</v>
      </c>
      <c r="E33" s="146" t="s">
        <v>1262</v>
      </c>
      <c r="F33" s="171">
        <v>4672.0</v>
      </c>
      <c r="G33" s="135">
        <v>2520.0</v>
      </c>
      <c r="H33" s="135">
        <v>43.0</v>
      </c>
      <c r="I33" s="135">
        <v>2.0</v>
      </c>
      <c r="J33" s="135">
        <v>0.0</v>
      </c>
      <c r="K33" s="135">
        <v>3.0</v>
      </c>
      <c r="L33" s="135">
        <v>0.0</v>
      </c>
      <c r="M33" s="135">
        <v>0.0</v>
      </c>
      <c r="N33" s="171">
        <v>2748.0</v>
      </c>
      <c r="O33" s="135">
        <f t="shared" si="7"/>
        <v>2796</v>
      </c>
      <c r="P33" s="136">
        <f t="shared" si="8"/>
        <v>110.952381</v>
      </c>
    </row>
    <row r="34">
      <c r="A34" s="145" t="s">
        <v>1247</v>
      </c>
      <c r="B34" s="132">
        <v>45795.0</v>
      </c>
      <c r="C34" s="138" t="s">
        <v>1263</v>
      </c>
      <c r="D34" s="139">
        <v>1.0</v>
      </c>
      <c r="E34" s="146" t="s">
        <v>1264</v>
      </c>
      <c r="F34" s="171">
        <v>33978.0</v>
      </c>
      <c r="G34" s="135">
        <v>898.0</v>
      </c>
      <c r="H34" s="135">
        <v>27.0</v>
      </c>
      <c r="I34" s="135">
        <v>0.0</v>
      </c>
      <c r="J34" s="135">
        <v>0.0</v>
      </c>
      <c r="K34" s="135">
        <v>1.0</v>
      </c>
      <c r="L34" s="135">
        <v>0.0</v>
      </c>
      <c r="M34" s="135">
        <v>0.0</v>
      </c>
      <c r="N34" s="135">
        <v>92.0</v>
      </c>
      <c r="O34" s="135">
        <f t="shared" si="7"/>
        <v>120</v>
      </c>
      <c r="P34" s="136">
        <f t="shared" si="8"/>
        <v>13.36302895</v>
      </c>
    </row>
    <row r="35">
      <c r="A35" s="145" t="s">
        <v>1265</v>
      </c>
      <c r="B35" s="132">
        <v>45796.0</v>
      </c>
      <c r="C35" s="138" t="s">
        <v>1260</v>
      </c>
      <c r="D35" s="139">
        <v>1.0</v>
      </c>
      <c r="E35" s="146" t="s">
        <v>1266</v>
      </c>
      <c r="F35" s="135">
        <v>854.0</v>
      </c>
      <c r="G35" s="135">
        <v>553.0</v>
      </c>
      <c r="H35" s="135">
        <v>5.0</v>
      </c>
      <c r="I35" s="135">
        <v>0.0</v>
      </c>
      <c r="J35" s="135">
        <v>0.0</v>
      </c>
      <c r="K35" s="135">
        <v>0.0</v>
      </c>
      <c r="L35" s="135">
        <v>0.0</v>
      </c>
      <c r="M35" s="135">
        <v>0.0</v>
      </c>
      <c r="N35" s="135">
        <v>96.0</v>
      </c>
      <c r="O35" s="135">
        <f t="shared" si="7"/>
        <v>101</v>
      </c>
      <c r="P35" s="136">
        <f t="shared" si="8"/>
        <v>18.26401447</v>
      </c>
    </row>
    <row r="36">
      <c r="A36" s="145" t="s">
        <v>1249</v>
      </c>
      <c r="B36" s="132">
        <v>45800.0</v>
      </c>
      <c r="C36" s="138" t="s">
        <v>1260</v>
      </c>
      <c r="D36" s="139">
        <v>1.0</v>
      </c>
      <c r="E36" s="146" t="s">
        <v>1267</v>
      </c>
      <c r="F36" s="135">
        <v>844.0</v>
      </c>
      <c r="G36" s="135">
        <v>335.0</v>
      </c>
      <c r="H36" s="135">
        <v>10.0</v>
      </c>
      <c r="I36" s="135">
        <v>0.0</v>
      </c>
      <c r="J36" s="135">
        <v>0.0</v>
      </c>
      <c r="K36" s="135">
        <v>0.0</v>
      </c>
      <c r="L36" s="135">
        <v>0.0</v>
      </c>
      <c r="M36" s="135">
        <v>0.0</v>
      </c>
      <c r="N36" s="135">
        <v>80.0</v>
      </c>
      <c r="O36" s="135">
        <f t="shared" si="7"/>
        <v>90</v>
      </c>
      <c r="P36" s="136">
        <f t="shared" si="8"/>
        <v>26.86567164</v>
      </c>
    </row>
    <row r="37">
      <c r="A37" s="145" t="s">
        <v>1268</v>
      </c>
      <c r="B37" s="132">
        <v>45807.0</v>
      </c>
      <c r="C37" s="138" t="s">
        <v>1269</v>
      </c>
      <c r="D37" s="139">
        <v>1.0</v>
      </c>
      <c r="E37" s="146" t="s">
        <v>1270</v>
      </c>
      <c r="F37" s="135">
        <v>793.0</v>
      </c>
      <c r="G37" s="135">
        <v>585.0</v>
      </c>
      <c r="H37" s="135">
        <v>2.0</v>
      </c>
      <c r="I37" s="135">
        <v>0.0</v>
      </c>
      <c r="J37" s="135">
        <v>0.0</v>
      </c>
      <c r="K37" s="135">
        <v>0.0</v>
      </c>
      <c r="L37" s="135">
        <v>0.0</v>
      </c>
      <c r="M37" s="135">
        <v>0.0</v>
      </c>
      <c r="N37" s="135">
        <v>153.0</v>
      </c>
      <c r="O37" s="135">
        <f t="shared" si="7"/>
        <v>155</v>
      </c>
      <c r="P37" s="136">
        <f t="shared" si="8"/>
        <v>26.4957265</v>
      </c>
    </row>
    <row r="38">
      <c r="A38" s="131"/>
      <c r="B38" s="132"/>
      <c r="C38" s="133"/>
      <c r="D38" s="133"/>
      <c r="E38" s="133"/>
      <c r="F38" s="134"/>
      <c r="G38" s="134"/>
      <c r="H38" s="134"/>
      <c r="I38" s="134"/>
      <c r="J38" s="134"/>
      <c r="K38" s="134"/>
      <c r="L38" s="134"/>
      <c r="M38" s="134"/>
      <c r="N38" s="134"/>
      <c r="O38" s="172"/>
      <c r="P38" s="137"/>
    </row>
    <row r="39">
      <c r="A39" s="126" t="s">
        <v>1271</v>
      </c>
      <c r="B39" s="127"/>
      <c r="C39" s="128"/>
      <c r="D39" s="128"/>
      <c r="E39" s="128"/>
      <c r="F39" s="129"/>
      <c r="G39" s="129"/>
      <c r="H39" s="129"/>
      <c r="I39" s="129"/>
      <c r="J39" s="129"/>
      <c r="K39" s="129"/>
      <c r="L39" s="129"/>
      <c r="M39" s="129"/>
      <c r="N39" s="129"/>
      <c r="O39" s="129"/>
      <c r="P39" s="130"/>
    </row>
    <row r="40">
      <c r="A40" s="138" t="s">
        <v>1272</v>
      </c>
      <c r="B40" s="132">
        <v>45797.0</v>
      </c>
      <c r="C40" s="138" t="s">
        <v>19</v>
      </c>
      <c r="D40" s="139">
        <v>1.0</v>
      </c>
      <c r="E40" s="146" t="s">
        <v>1273</v>
      </c>
      <c r="F40" s="141">
        <v>17306.0</v>
      </c>
      <c r="G40" s="141">
        <v>15804.0</v>
      </c>
      <c r="H40" s="142">
        <v>674.0</v>
      </c>
      <c r="I40" s="142">
        <v>30.0</v>
      </c>
      <c r="J40" s="142">
        <v>11.0</v>
      </c>
      <c r="K40" s="142">
        <v>333.0</v>
      </c>
      <c r="L40" s="142">
        <v>0.0</v>
      </c>
      <c r="M40" s="142">
        <v>0.0</v>
      </c>
      <c r="N40" s="142">
        <v>0.0</v>
      </c>
      <c r="O40" s="173">
        <f t="shared" ref="O40:O43" si="9">SUM(H40:N40)</f>
        <v>1048</v>
      </c>
      <c r="P40" s="174">
        <f t="shared" ref="P40:P43" si="10">O40/G40*100</f>
        <v>6.631232599</v>
      </c>
    </row>
    <row r="41">
      <c r="A41" s="138" t="s">
        <v>1274</v>
      </c>
      <c r="B41" s="133"/>
      <c r="C41" s="138" t="s">
        <v>19</v>
      </c>
      <c r="D41" s="139">
        <v>1.0</v>
      </c>
      <c r="E41" s="146" t="s">
        <v>1275</v>
      </c>
      <c r="F41" s="141">
        <v>8243.0</v>
      </c>
      <c r="G41" s="141">
        <v>1150.0</v>
      </c>
      <c r="H41" s="142">
        <v>543.0</v>
      </c>
      <c r="I41" s="142">
        <v>70.0</v>
      </c>
      <c r="J41" s="142">
        <v>33.0</v>
      </c>
      <c r="K41" s="142">
        <v>1.0</v>
      </c>
      <c r="L41" s="142">
        <v>0.0</v>
      </c>
      <c r="M41" s="142">
        <v>0.0</v>
      </c>
      <c r="N41" s="142">
        <v>0.0</v>
      </c>
      <c r="O41" s="173">
        <f t="shared" si="9"/>
        <v>647</v>
      </c>
      <c r="P41" s="174">
        <f t="shared" si="10"/>
        <v>56.26086957</v>
      </c>
    </row>
    <row r="42">
      <c r="A42" s="138" t="s">
        <v>1276</v>
      </c>
      <c r="B42" s="132">
        <v>45800.0</v>
      </c>
      <c r="C42" s="138" t="s">
        <v>1243</v>
      </c>
      <c r="D42" s="139">
        <v>1.0</v>
      </c>
      <c r="E42" s="146" t="s">
        <v>1277</v>
      </c>
      <c r="F42" s="175">
        <v>1767.0</v>
      </c>
      <c r="G42" s="175">
        <v>1001.0</v>
      </c>
      <c r="H42" s="176">
        <v>452.0</v>
      </c>
      <c r="I42" s="176">
        <v>6.0</v>
      </c>
      <c r="J42" s="176">
        <v>0.0</v>
      </c>
      <c r="K42" s="176">
        <v>107.0</v>
      </c>
      <c r="L42" s="176">
        <v>29.0</v>
      </c>
      <c r="M42" s="177">
        <v>0.0</v>
      </c>
      <c r="N42" s="177">
        <v>3.0</v>
      </c>
      <c r="O42" s="173">
        <f t="shared" si="9"/>
        <v>597</v>
      </c>
      <c r="P42" s="178">
        <f t="shared" si="10"/>
        <v>59.64035964</v>
      </c>
    </row>
    <row r="43">
      <c r="A43" s="138" t="s">
        <v>1278</v>
      </c>
      <c r="B43" s="132">
        <v>45803.0</v>
      </c>
      <c r="C43" s="138" t="s">
        <v>1243</v>
      </c>
      <c r="D43" s="139">
        <v>1.0</v>
      </c>
      <c r="E43" s="146" t="s">
        <v>1279</v>
      </c>
      <c r="F43" s="175">
        <v>2844.0</v>
      </c>
      <c r="G43" s="175">
        <v>1943.0</v>
      </c>
      <c r="H43" s="176">
        <v>402.0</v>
      </c>
      <c r="I43" s="176">
        <v>9.0</v>
      </c>
      <c r="J43" s="176">
        <v>0.0</v>
      </c>
      <c r="K43" s="176">
        <v>5.0</v>
      </c>
      <c r="L43" s="176">
        <v>18.0</v>
      </c>
      <c r="M43" s="177">
        <v>0.0</v>
      </c>
      <c r="N43" s="177">
        <v>1.0</v>
      </c>
      <c r="O43" s="173">
        <f t="shared" si="9"/>
        <v>435</v>
      </c>
      <c r="P43" s="178">
        <f t="shared" si="10"/>
        <v>22.3880597</v>
      </c>
    </row>
    <row r="44">
      <c r="A44" s="133"/>
      <c r="B44" s="132"/>
      <c r="C44" s="133"/>
      <c r="D44" s="133"/>
      <c r="E44" s="133"/>
      <c r="F44" s="134"/>
      <c r="G44" s="134"/>
      <c r="H44" s="134"/>
      <c r="I44" s="134"/>
      <c r="J44" s="134"/>
      <c r="K44" s="134"/>
      <c r="L44" s="134"/>
      <c r="M44" s="134"/>
      <c r="N44" s="134"/>
      <c r="O44" s="134"/>
      <c r="P44" s="137"/>
    </row>
    <row r="45">
      <c r="A45" s="121" t="s">
        <v>1280</v>
      </c>
      <c r="B45" s="123"/>
      <c r="C45" s="123"/>
      <c r="D45" s="123"/>
      <c r="E45" s="123"/>
      <c r="F45" s="124"/>
      <c r="G45" s="124"/>
      <c r="H45" s="124"/>
      <c r="I45" s="124"/>
      <c r="J45" s="124"/>
      <c r="K45" s="124"/>
      <c r="L45" s="124"/>
      <c r="M45" s="124"/>
      <c r="N45" s="124"/>
      <c r="O45" s="124"/>
      <c r="P45" s="152"/>
    </row>
    <row r="46">
      <c r="A46" s="126" t="s">
        <v>1222</v>
      </c>
      <c r="B46" s="127"/>
      <c r="C46" s="128"/>
      <c r="D46" s="128"/>
      <c r="E46" s="128"/>
      <c r="F46" s="129"/>
      <c r="G46" s="129"/>
      <c r="H46" s="129"/>
      <c r="I46" s="129"/>
      <c r="J46" s="129"/>
      <c r="K46" s="129"/>
      <c r="L46" s="129"/>
      <c r="M46" s="129"/>
      <c r="N46" s="129"/>
      <c r="O46" s="129"/>
      <c r="P46" s="130"/>
    </row>
    <row r="47">
      <c r="A47" s="153" t="s">
        <v>1235</v>
      </c>
      <c r="B47" s="154" t="s">
        <v>1281</v>
      </c>
      <c r="C47" s="155" t="s">
        <v>537</v>
      </c>
      <c r="D47" s="154"/>
      <c r="E47" s="179"/>
      <c r="F47" s="180" t="str">
        <f t="shared" ref="F47:H47" si="11">'IGS June'!L75</f>
        <v>#REF!</v>
      </c>
      <c r="G47" s="180" t="str">
        <f t="shared" si="11"/>
        <v>#REF!</v>
      </c>
      <c r="H47" s="181" t="str">
        <f t="shared" si="11"/>
        <v>#REF!</v>
      </c>
      <c r="I47" s="181">
        <v>0.0</v>
      </c>
      <c r="J47" s="181">
        <v>0.0</v>
      </c>
      <c r="K47" s="181">
        <v>0.0</v>
      </c>
      <c r="L47" s="181" t="str">
        <f t="shared" ref="L47:N47" si="12">'IGS June'!Q75</f>
        <v>#REF!</v>
      </c>
      <c r="M47" s="181" t="str">
        <f t="shared" si="12"/>
        <v>#REF!</v>
      </c>
      <c r="N47" s="181" t="str">
        <f t="shared" si="12"/>
        <v>#REF!</v>
      </c>
      <c r="O47" s="180" t="str">
        <f t="shared" ref="O47:O51" si="13">SUM(H47:N47)</f>
        <v>#REF!</v>
      </c>
      <c r="P47" s="182" t="str">
        <f t="shared" ref="P47:P51" si="14">O47/G47*100</f>
        <v>#REF!</v>
      </c>
    </row>
    <row r="48">
      <c r="A48" s="138" t="s">
        <v>1282</v>
      </c>
      <c r="B48" s="132">
        <v>45810.0</v>
      </c>
      <c r="C48" s="138" t="s">
        <v>1243</v>
      </c>
      <c r="D48" s="139">
        <v>1.0</v>
      </c>
      <c r="E48" s="183" t="s">
        <v>1283</v>
      </c>
      <c r="F48" s="173">
        <v>3104.0</v>
      </c>
      <c r="G48" s="173">
        <v>1799.0</v>
      </c>
      <c r="H48" s="177">
        <v>416.0</v>
      </c>
      <c r="I48" s="177">
        <v>21.0</v>
      </c>
      <c r="J48" s="74"/>
      <c r="K48" s="177">
        <v>113.0</v>
      </c>
      <c r="L48" s="177">
        <v>27.0</v>
      </c>
      <c r="M48" s="177">
        <v>0.0</v>
      </c>
      <c r="N48" s="177">
        <v>2.0</v>
      </c>
      <c r="O48" s="173">
        <f t="shared" si="13"/>
        <v>579</v>
      </c>
      <c r="P48" s="178">
        <f t="shared" si="14"/>
        <v>32.18454697</v>
      </c>
    </row>
    <row r="49">
      <c r="A49" s="138" t="s">
        <v>1284</v>
      </c>
      <c r="B49" s="132">
        <v>45819.0</v>
      </c>
      <c r="C49" s="138" t="s">
        <v>1285</v>
      </c>
      <c r="D49" s="139">
        <v>1.0</v>
      </c>
      <c r="E49" s="146" t="s">
        <v>1286</v>
      </c>
      <c r="F49" s="173">
        <v>6674.0</v>
      </c>
      <c r="G49" s="173">
        <v>3840.0</v>
      </c>
      <c r="H49" s="177">
        <v>376.0</v>
      </c>
      <c r="I49" s="177">
        <v>625.0</v>
      </c>
      <c r="J49" s="177">
        <v>66.0</v>
      </c>
      <c r="K49" s="177">
        <v>175.0</v>
      </c>
      <c r="L49" s="177">
        <v>104.0</v>
      </c>
      <c r="M49" s="177">
        <v>0.0</v>
      </c>
      <c r="N49" s="177">
        <v>6.0</v>
      </c>
      <c r="O49" s="173">
        <f t="shared" si="13"/>
        <v>1352</v>
      </c>
      <c r="P49" s="178">
        <f t="shared" si="14"/>
        <v>35.20833333</v>
      </c>
    </row>
    <row r="50">
      <c r="A50" s="184" t="s">
        <v>1287</v>
      </c>
      <c r="B50" s="132">
        <v>45820.0</v>
      </c>
      <c r="C50" s="138" t="s">
        <v>1243</v>
      </c>
      <c r="D50" s="139">
        <v>1.0</v>
      </c>
      <c r="E50" s="183" t="s">
        <v>1288</v>
      </c>
      <c r="F50" s="173">
        <v>5450.0</v>
      </c>
      <c r="G50" s="173">
        <v>2077.0</v>
      </c>
      <c r="H50" s="177">
        <v>477.0</v>
      </c>
      <c r="I50" s="177">
        <v>10.0</v>
      </c>
      <c r="J50" s="177">
        <v>1.0</v>
      </c>
      <c r="K50" s="177">
        <v>114.0</v>
      </c>
      <c r="L50" s="177">
        <v>122.0</v>
      </c>
      <c r="M50" s="177">
        <v>0.0</v>
      </c>
      <c r="N50" s="177">
        <v>2.0</v>
      </c>
      <c r="O50" s="173">
        <f t="shared" si="13"/>
        <v>726</v>
      </c>
      <c r="P50" s="178">
        <f t="shared" si="14"/>
        <v>34.95426095</v>
      </c>
    </row>
    <row r="51">
      <c r="A51" s="133" t="s">
        <v>1289</v>
      </c>
      <c r="B51" s="132">
        <v>45824.0</v>
      </c>
      <c r="C51" s="138" t="s">
        <v>1243</v>
      </c>
      <c r="D51" s="139">
        <v>1.0</v>
      </c>
      <c r="E51" s="146" t="s">
        <v>1290</v>
      </c>
      <c r="F51" s="173">
        <v>6016.0</v>
      </c>
      <c r="G51" s="173">
        <v>2843.0</v>
      </c>
      <c r="H51" s="177">
        <v>590.0</v>
      </c>
      <c r="I51" s="177">
        <v>44.0</v>
      </c>
      <c r="J51" s="177">
        <v>10.0</v>
      </c>
      <c r="K51" s="177">
        <v>145.0</v>
      </c>
      <c r="L51" s="177">
        <v>206.0</v>
      </c>
      <c r="M51" s="177">
        <v>0.0</v>
      </c>
      <c r="N51" s="177">
        <v>26.0</v>
      </c>
      <c r="O51" s="173">
        <f t="shared" si="13"/>
        <v>1021</v>
      </c>
      <c r="P51" s="178">
        <f t="shared" si="14"/>
        <v>35.9127682</v>
      </c>
    </row>
    <row r="52">
      <c r="A52" s="131"/>
      <c r="B52" s="132"/>
      <c r="C52" s="133"/>
      <c r="D52" s="133"/>
      <c r="E52" s="133"/>
      <c r="F52" s="134"/>
      <c r="G52" s="134"/>
      <c r="H52" s="134"/>
      <c r="I52" s="134"/>
      <c r="J52" s="134"/>
      <c r="K52" s="134"/>
      <c r="L52" s="134"/>
      <c r="M52" s="134"/>
      <c r="N52" s="134"/>
      <c r="O52" s="134"/>
      <c r="P52" s="137"/>
    </row>
    <row r="53">
      <c r="A53" s="126" t="s">
        <v>1257</v>
      </c>
      <c r="B53" s="127"/>
      <c r="C53" s="128"/>
      <c r="D53" s="128"/>
      <c r="E53" s="128"/>
      <c r="F53" s="129"/>
      <c r="G53" s="129"/>
      <c r="H53" s="129"/>
      <c r="I53" s="129"/>
      <c r="J53" s="129"/>
      <c r="K53" s="129"/>
      <c r="L53" s="129"/>
      <c r="M53" s="129"/>
      <c r="N53" s="129"/>
      <c r="O53" s="129"/>
      <c r="P53" s="130"/>
    </row>
    <row r="54">
      <c r="A54" s="145" t="s">
        <v>1291</v>
      </c>
      <c r="B54" s="132">
        <v>45810.0</v>
      </c>
      <c r="C54" s="138" t="s">
        <v>1269</v>
      </c>
      <c r="D54" s="139">
        <v>1.0</v>
      </c>
      <c r="E54" s="146" t="s">
        <v>1292</v>
      </c>
      <c r="F54" s="171">
        <v>1545.0</v>
      </c>
      <c r="G54" s="135">
        <v>1003.0</v>
      </c>
      <c r="H54" s="171">
        <v>7.0</v>
      </c>
      <c r="I54" s="171">
        <v>2.0</v>
      </c>
      <c r="J54" s="135">
        <v>0.0</v>
      </c>
      <c r="K54" s="171">
        <v>0.0</v>
      </c>
      <c r="L54" s="135">
        <v>0.0</v>
      </c>
      <c r="M54" s="135">
        <v>0.0</v>
      </c>
      <c r="N54" s="135">
        <v>255.0</v>
      </c>
      <c r="O54" s="185">
        <f t="shared" ref="O54:O58" si="15">SUM(H54:N54)</f>
        <v>264</v>
      </c>
      <c r="P54" s="186">
        <f t="shared" ref="P54:P58" si="16">O54/G54*100</f>
        <v>26.32103689</v>
      </c>
    </row>
    <row r="55">
      <c r="A55" s="184" t="s">
        <v>1287</v>
      </c>
      <c r="B55" s="132">
        <v>45820.0</v>
      </c>
      <c r="C55" s="138" t="s">
        <v>1269</v>
      </c>
      <c r="D55" s="139">
        <v>1.0</v>
      </c>
      <c r="E55" s="146" t="s">
        <v>1293</v>
      </c>
      <c r="F55" s="171">
        <v>2908.0</v>
      </c>
      <c r="G55" s="135">
        <v>1919.0</v>
      </c>
      <c r="H55" s="171">
        <v>12.0</v>
      </c>
      <c r="I55" s="171">
        <v>0.0</v>
      </c>
      <c r="J55" s="135">
        <v>0.0</v>
      </c>
      <c r="K55" s="171">
        <v>0.0</v>
      </c>
      <c r="L55" s="135">
        <v>0.0</v>
      </c>
      <c r="M55" s="135">
        <v>0.0</v>
      </c>
      <c r="N55" s="135">
        <v>882.0</v>
      </c>
      <c r="O55" s="185">
        <f t="shared" si="15"/>
        <v>894</v>
      </c>
      <c r="P55" s="186">
        <f t="shared" si="16"/>
        <v>46.58676394</v>
      </c>
    </row>
    <row r="56">
      <c r="A56" s="133" t="s">
        <v>1289</v>
      </c>
      <c r="B56" s="132">
        <v>45824.0</v>
      </c>
      <c r="C56" s="138" t="s">
        <v>1269</v>
      </c>
      <c r="D56" s="139">
        <v>1.0</v>
      </c>
      <c r="E56" s="146" t="s">
        <v>1294</v>
      </c>
      <c r="F56" s="171">
        <v>1180.0</v>
      </c>
      <c r="G56" s="135">
        <v>816.0</v>
      </c>
      <c r="H56" s="171">
        <v>6.0</v>
      </c>
      <c r="I56" s="171">
        <v>0.0</v>
      </c>
      <c r="J56" s="135">
        <v>0.0</v>
      </c>
      <c r="K56" s="171">
        <v>0.0</v>
      </c>
      <c r="L56" s="135">
        <v>0.0</v>
      </c>
      <c r="M56" s="135">
        <v>0.0</v>
      </c>
      <c r="N56" s="135">
        <v>184.0</v>
      </c>
      <c r="O56" s="185">
        <f t="shared" si="15"/>
        <v>190</v>
      </c>
      <c r="P56" s="186">
        <f t="shared" si="16"/>
        <v>23.28431373</v>
      </c>
    </row>
    <row r="57">
      <c r="A57" s="145" t="s">
        <v>1295</v>
      </c>
      <c r="B57" s="132">
        <v>45828.0</v>
      </c>
      <c r="C57" s="138" t="s">
        <v>1269</v>
      </c>
      <c r="D57" s="139">
        <v>1.0</v>
      </c>
      <c r="E57" s="146" t="s">
        <v>1296</v>
      </c>
      <c r="F57" s="171">
        <v>1066.0</v>
      </c>
      <c r="G57" s="135">
        <v>759.0</v>
      </c>
      <c r="H57" s="171">
        <v>7.0</v>
      </c>
      <c r="I57" s="171">
        <v>0.0</v>
      </c>
      <c r="J57" s="135">
        <v>0.0</v>
      </c>
      <c r="K57" s="171">
        <v>0.0</v>
      </c>
      <c r="L57" s="135">
        <v>0.0</v>
      </c>
      <c r="M57" s="135">
        <v>0.0</v>
      </c>
      <c r="N57" s="135">
        <v>182.0</v>
      </c>
      <c r="O57" s="185">
        <f t="shared" si="15"/>
        <v>189</v>
      </c>
      <c r="P57" s="186">
        <f t="shared" si="16"/>
        <v>24.90118577</v>
      </c>
    </row>
    <row r="58">
      <c r="A58" s="184" t="s">
        <v>1297</v>
      </c>
      <c r="B58" s="132">
        <v>45838.0</v>
      </c>
      <c r="C58" s="138" t="s">
        <v>1269</v>
      </c>
      <c r="D58" s="139">
        <v>1.0</v>
      </c>
      <c r="E58" s="146" t="s">
        <v>1298</v>
      </c>
      <c r="F58" s="171">
        <v>994.0</v>
      </c>
      <c r="G58" s="135">
        <v>805.0</v>
      </c>
      <c r="H58" s="171">
        <v>8.0</v>
      </c>
      <c r="I58" s="171">
        <v>0.0</v>
      </c>
      <c r="J58" s="135">
        <v>0.0</v>
      </c>
      <c r="K58" s="171">
        <v>0.0</v>
      </c>
      <c r="L58" s="135">
        <v>0.0</v>
      </c>
      <c r="M58" s="135">
        <v>0.0</v>
      </c>
      <c r="N58" s="135">
        <v>278.0</v>
      </c>
      <c r="O58" s="185">
        <f t="shared" si="15"/>
        <v>286</v>
      </c>
      <c r="P58" s="186">
        <f t="shared" si="16"/>
        <v>35.52795031</v>
      </c>
    </row>
    <row r="59">
      <c r="A59" s="131"/>
      <c r="B59" s="132"/>
      <c r="C59" s="133"/>
      <c r="D59" s="133"/>
      <c r="E59" s="133"/>
      <c r="F59" s="134"/>
      <c r="G59" s="134"/>
      <c r="H59" s="134"/>
      <c r="I59" s="134"/>
      <c r="J59" s="134"/>
      <c r="K59" s="134"/>
      <c r="L59" s="134"/>
      <c r="M59" s="134"/>
      <c r="N59" s="134"/>
      <c r="O59" s="134"/>
      <c r="P59" s="137"/>
    </row>
    <row r="60">
      <c r="A60" s="126" t="s">
        <v>1299</v>
      </c>
      <c r="B60" s="127"/>
      <c r="C60" s="128"/>
      <c r="D60" s="128"/>
      <c r="E60" s="128"/>
      <c r="F60" s="129"/>
      <c r="G60" s="129"/>
      <c r="H60" s="129"/>
      <c r="I60" s="129"/>
      <c r="J60" s="129"/>
      <c r="K60" s="129"/>
      <c r="L60" s="129"/>
      <c r="M60" s="129"/>
      <c r="N60" s="129"/>
      <c r="O60" s="129"/>
      <c r="P60" s="130"/>
    </row>
    <row r="61">
      <c r="A61" s="187" t="s">
        <v>1300</v>
      </c>
      <c r="B61" s="132">
        <v>45831.0</v>
      </c>
      <c r="C61" s="138" t="s">
        <v>1243</v>
      </c>
      <c r="D61" s="139">
        <v>1.0</v>
      </c>
      <c r="E61" s="146" t="s">
        <v>1300</v>
      </c>
      <c r="F61" s="175">
        <v>2721.0</v>
      </c>
      <c r="G61" s="175">
        <v>809.0</v>
      </c>
      <c r="H61" s="176">
        <v>639.0</v>
      </c>
      <c r="I61" s="176">
        <v>31.0</v>
      </c>
      <c r="J61" s="176">
        <v>3.0</v>
      </c>
      <c r="K61" s="176">
        <v>127.0</v>
      </c>
      <c r="L61" s="176">
        <v>6.0</v>
      </c>
      <c r="M61" s="177">
        <v>0.0</v>
      </c>
      <c r="N61" s="177">
        <v>2.0</v>
      </c>
      <c r="O61" s="173">
        <f t="shared" ref="O61:O63" si="17">SUM(H61:N61)</f>
        <v>808</v>
      </c>
      <c r="P61" s="178">
        <f t="shared" ref="P61:P63" si="18">O61/G61*100</f>
        <v>99.87639061</v>
      </c>
    </row>
    <row r="62">
      <c r="A62" s="188" t="s">
        <v>1301</v>
      </c>
      <c r="B62" s="132">
        <v>45834.0</v>
      </c>
      <c r="C62" s="138" t="s">
        <v>19</v>
      </c>
      <c r="D62" s="139">
        <v>1.0</v>
      </c>
      <c r="E62" s="183" t="s">
        <v>1302</v>
      </c>
      <c r="F62" s="150">
        <v>5087.0</v>
      </c>
      <c r="G62" s="173">
        <v>1985.0</v>
      </c>
      <c r="H62" s="177">
        <v>70.0</v>
      </c>
      <c r="I62" s="177">
        <v>54.0</v>
      </c>
      <c r="J62" s="177">
        <v>30.0</v>
      </c>
      <c r="K62" s="177">
        <v>35.0</v>
      </c>
      <c r="L62" s="189" t="s">
        <v>32</v>
      </c>
      <c r="M62" s="189" t="s">
        <v>32</v>
      </c>
      <c r="N62" s="143"/>
      <c r="O62" s="173">
        <f t="shared" si="17"/>
        <v>189</v>
      </c>
      <c r="P62" s="178">
        <f t="shared" si="18"/>
        <v>9.521410579</v>
      </c>
    </row>
    <row r="63">
      <c r="A63" s="188" t="s">
        <v>1303</v>
      </c>
      <c r="B63" s="132">
        <v>45838.0</v>
      </c>
      <c r="C63" s="138" t="s">
        <v>19</v>
      </c>
      <c r="D63" s="139">
        <v>1.0</v>
      </c>
      <c r="E63" s="183" t="s">
        <v>1304</v>
      </c>
      <c r="F63" s="150">
        <v>9152.0</v>
      </c>
      <c r="G63" s="173">
        <v>3450.0</v>
      </c>
      <c r="H63" s="177">
        <v>298.0</v>
      </c>
      <c r="I63" s="177">
        <v>51.0</v>
      </c>
      <c r="J63" s="177">
        <v>17.0</v>
      </c>
      <c r="K63" s="177">
        <v>59.0</v>
      </c>
      <c r="L63" s="189" t="s">
        <v>32</v>
      </c>
      <c r="M63" s="189" t="s">
        <v>32</v>
      </c>
      <c r="N63" s="143"/>
      <c r="O63" s="173">
        <f t="shared" si="17"/>
        <v>425</v>
      </c>
      <c r="P63" s="178">
        <f t="shared" si="18"/>
        <v>12.31884058</v>
      </c>
    </row>
    <row r="64">
      <c r="A64" s="131"/>
      <c r="B64" s="132"/>
      <c r="C64" s="133"/>
      <c r="D64" s="133"/>
      <c r="E64" s="133"/>
      <c r="F64" s="134"/>
      <c r="G64" s="134"/>
      <c r="H64" s="134"/>
      <c r="I64" s="134"/>
      <c r="J64" s="134"/>
      <c r="K64" s="134"/>
      <c r="L64" s="134"/>
      <c r="M64" s="134"/>
      <c r="N64" s="134"/>
      <c r="O64" s="134"/>
      <c r="P64" s="137"/>
    </row>
    <row r="65">
      <c r="A65" s="121" t="s">
        <v>1305</v>
      </c>
      <c r="B65" s="123"/>
      <c r="C65" s="123"/>
      <c r="D65" s="123"/>
      <c r="E65" s="123"/>
      <c r="F65" s="124"/>
      <c r="G65" s="124"/>
      <c r="H65" s="124"/>
      <c r="I65" s="124"/>
      <c r="J65" s="124"/>
      <c r="K65" s="124"/>
      <c r="L65" s="124"/>
      <c r="M65" s="124"/>
      <c r="N65" s="124"/>
      <c r="O65" s="124"/>
      <c r="P65" s="190"/>
    </row>
    <row r="66">
      <c r="A66" s="126" t="s">
        <v>1222</v>
      </c>
      <c r="B66" s="127"/>
      <c r="C66" s="128"/>
      <c r="D66" s="128"/>
      <c r="E66" s="128"/>
      <c r="F66" s="129"/>
      <c r="G66" s="129"/>
      <c r="H66" s="129"/>
      <c r="I66" s="129"/>
      <c r="J66" s="129"/>
      <c r="K66" s="129"/>
      <c r="L66" s="129"/>
      <c r="M66" s="129"/>
      <c r="N66" s="129"/>
      <c r="O66" s="129"/>
      <c r="P66" s="130"/>
    </row>
    <row r="67">
      <c r="A67" s="153" t="s">
        <v>1235</v>
      </c>
      <c r="B67" s="154" t="s">
        <v>1306</v>
      </c>
      <c r="C67" s="155" t="s">
        <v>537</v>
      </c>
      <c r="D67" s="154"/>
      <c r="E67" s="179"/>
      <c r="F67" s="180">
        <v>16048.0</v>
      </c>
      <c r="G67" s="180">
        <v>13979.0</v>
      </c>
      <c r="H67" s="181">
        <v>186.0</v>
      </c>
      <c r="I67" s="181">
        <v>0.0</v>
      </c>
      <c r="J67" s="181">
        <v>0.0</v>
      </c>
      <c r="K67" s="181">
        <v>0.0</v>
      </c>
      <c r="L67" s="181">
        <v>57.0</v>
      </c>
      <c r="M67" s="181">
        <v>15.0</v>
      </c>
      <c r="N67" s="181">
        <v>62.0</v>
      </c>
      <c r="O67" s="180">
        <f t="shared" ref="O67:O71" si="19">SUM(H67:N67)</f>
        <v>320</v>
      </c>
      <c r="P67" s="182">
        <f t="shared" ref="P67:P71" si="20">O67/G67*100</f>
        <v>2.289148008</v>
      </c>
    </row>
    <row r="68">
      <c r="A68" s="138" t="s">
        <v>1307</v>
      </c>
      <c r="B68" s="132">
        <v>45840.0</v>
      </c>
      <c r="C68" s="138" t="s">
        <v>1243</v>
      </c>
      <c r="D68" s="139">
        <v>1.0</v>
      </c>
      <c r="E68" s="146" t="s">
        <v>1308</v>
      </c>
      <c r="F68" s="173">
        <v>4037.0</v>
      </c>
      <c r="G68" s="173">
        <v>1014.0</v>
      </c>
      <c r="H68" s="177">
        <v>560.0</v>
      </c>
      <c r="I68" s="177">
        <v>23.0</v>
      </c>
      <c r="J68" s="177">
        <v>1.0</v>
      </c>
      <c r="K68" s="177">
        <v>244.0</v>
      </c>
      <c r="L68" s="177">
        <v>23.0</v>
      </c>
      <c r="M68" s="177">
        <v>0.0</v>
      </c>
      <c r="N68" s="177">
        <v>0.0</v>
      </c>
      <c r="O68" s="173">
        <f t="shared" si="19"/>
        <v>851</v>
      </c>
      <c r="P68" s="178">
        <f t="shared" si="20"/>
        <v>83.92504931</v>
      </c>
    </row>
    <row r="69">
      <c r="A69" s="138" t="s">
        <v>1309</v>
      </c>
      <c r="B69" s="132">
        <v>45849.0</v>
      </c>
      <c r="C69" s="138" t="s">
        <v>1310</v>
      </c>
      <c r="D69" s="139">
        <v>1.0</v>
      </c>
      <c r="E69" s="146" t="s">
        <v>1311</v>
      </c>
      <c r="F69" s="173">
        <v>5386.0</v>
      </c>
      <c r="G69" s="173">
        <v>3117.0</v>
      </c>
      <c r="H69" s="177">
        <v>2080.0</v>
      </c>
      <c r="I69" s="177">
        <v>44.0</v>
      </c>
      <c r="J69" s="177">
        <v>4.0</v>
      </c>
      <c r="K69" s="177">
        <v>196.0</v>
      </c>
      <c r="L69" s="177">
        <v>0.0</v>
      </c>
      <c r="M69" s="177">
        <v>0.0</v>
      </c>
      <c r="N69" s="177">
        <v>0.0</v>
      </c>
      <c r="O69" s="173">
        <f t="shared" si="19"/>
        <v>2324</v>
      </c>
      <c r="P69" s="178">
        <f t="shared" si="20"/>
        <v>74.55887071</v>
      </c>
    </row>
    <row r="70">
      <c r="A70" s="138" t="s">
        <v>1312</v>
      </c>
      <c r="B70" s="132">
        <v>45861.0</v>
      </c>
      <c r="C70" s="138" t="s">
        <v>1243</v>
      </c>
      <c r="D70" s="139">
        <v>1.0</v>
      </c>
      <c r="E70" s="146" t="s">
        <v>1313</v>
      </c>
      <c r="F70" s="173">
        <v>6620.0</v>
      </c>
      <c r="G70" s="173">
        <v>2149.0</v>
      </c>
      <c r="H70" s="177">
        <v>499.0</v>
      </c>
      <c r="I70" s="177">
        <v>31.0</v>
      </c>
      <c r="J70" s="177">
        <v>3.0</v>
      </c>
      <c r="K70" s="177">
        <v>113.0</v>
      </c>
      <c r="L70" s="177">
        <v>98.0</v>
      </c>
      <c r="M70" s="177">
        <v>0.0</v>
      </c>
      <c r="N70" s="177">
        <v>4.0</v>
      </c>
      <c r="O70" s="173">
        <f t="shared" si="19"/>
        <v>748</v>
      </c>
      <c r="P70" s="178">
        <f t="shared" si="20"/>
        <v>34.80688692</v>
      </c>
    </row>
    <row r="71">
      <c r="A71" s="138" t="s">
        <v>1314</v>
      </c>
      <c r="B71" s="132">
        <v>45863.0</v>
      </c>
      <c r="C71" s="138" t="s">
        <v>1243</v>
      </c>
      <c r="D71" s="139">
        <v>1.0</v>
      </c>
      <c r="E71" s="146" t="s">
        <v>1315</v>
      </c>
      <c r="F71" s="175">
        <v>9288.0</v>
      </c>
      <c r="G71" s="175">
        <v>4734.0</v>
      </c>
      <c r="H71" s="176">
        <v>586.0</v>
      </c>
      <c r="I71" s="176">
        <v>55.0</v>
      </c>
      <c r="J71" s="176">
        <v>4.0</v>
      </c>
      <c r="K71" s="176">
        <v>168.0</v>
      </c>
      <c r="L71" s="176">
        <v>94.0</v>
      </c>
      <c r="M71" s="177">
        <v>0.0</v>
      </c>
      <c r="N71" s="177">
        <v>3.0</v>
      </c>
      <c r="O71" s="173">
        <f t="shared" si="19"/>
        <v>910</v>
      </c>
      <c r="P71" s="178">
        <f t="shared" si="20"/>
        <v>19.2226447</v>
      </c>
    </row>
    <row r="72">
      <c r="A72" s="133"/>
      <c r="B72" s="132"/>
      <c r="C72" s="133"/>
      <c r="D72" s="133"/>
      <c r="E72" s="133"/>
      <c r="F72" s="191"/>
      <c r="G72" s="191"/>
      <c r="H72" s="143"/>
      <c r="I72" s="143"/>
      <c r="J72" s="143"/>
      <c r="K72" s="143"/>
      <c r="L72" s="143"/>
      <c r="M72" s="143"/>
      <c r="N72" s="143"/>
      <c r="O72" s="191"/>
      <c r="P72" s="192"/>
    </row>
    <row r="73">
      <c r="A73" s="133"/>
      <c r="B73" s="132"/>
      <c r="C73" s="133"/>
      <c r="D73" s="133"/>
      <c r="E73" s="133"/>
      <c r="F73" s="134"/>
      <c r="G73" s="134"/>
      <c r="H73" s="134"/>
      <c r="I73" s="134"/>
      <c r="J73" s="134"/>
      <c r="K73" s="134"/>
      <c r="L73" s="134"/>
      <c r="M73" s="134"/>
      <c r="N73" s="134"/>
      <c r="O73" s="134"/>
      <c r="P73" s="137"/>
    </row>
    <row r="74">
      <c r="A74" s="126" t="s">
        <v>1257</v>
      </c>
      <c r="B74" s="127"/>
      <c r="C74" s="128"/>
      <c r="D74" s="128"/>
      <c r="E74" s="128"/>
      <c r="F74" s="129"/>
      <c r="G74" s="129"/>
      <c r="H74" s="129"/>
      <c r="I74" s="129"/>
      <c r="J74" s="129"/>
      <c r="K74" s="129"/>
      <c r="L74" s="129"/>
      <c r="M74" s="129"/>
      <c r="N74" s="129"/>
      <c r="O74" s="129"/>
      <c r="P74" s="130"/>
    </row>
    <row r="75">
      <c r="A75" s="138" t="s">
        <v>1309</v>
      </c>
      <c r="B75" s="132">
        <v>45851.0</v>
      </c>
      <c r="C75" s="138" t="s">
        <v>1263</v>
      </c>
      <c r="D75" s="139">
        <v>1.0</v>
      </c>
      <c r="E75" s="146" t="s">
        <v>1316</v>
      </c>
      <c r="F75" s="171">
        <v>1289.0</v>
      </c>
      <c r="G75" s="171">
        <v>880.0</v>
      </c>
      <c r="H75" s="171">
        <v>11.0</v>
      </c>
      <c r="I75" s="171">
        <v>0.0</v>
      </c>
      <c r="J75" s="135">
        <v>0.0</v>
      </c>
      <c r="K75" s="171">
        <v>3.0</v>
      </c>
      <c r="L75" s="135">
        <v>0.0</v>
      </c>
      <c r="M75" s="135">
        <v>0.0</v>
      </c>
      <c r="N75" s="135">
        <v>57.0</v>
      </c>
      <c r="O75" s="185">
        <f t="shared" ref="O75:O77" si="21">SUM(H75:N75)</f>
        <v>71</v>
      </c>
      <c r="P75" s="136">
        <f t="shared" ref="P75:P77" si="22">O75/G75*100</f>
        <v>8.068181818</v>
      </c>
    </row>
    <row r="76">
      <c r="A76" s="138" t="s">
        <v>1312</v>
      </c>
      <c r="B76" s="132">
        <v>45861.0</v>
      </c>
      <c r="C76" s="138" t="s">
        <v>1317</v>
      </c>
      <c r="D76" s="139">
        <v>1.0</v>
      </c>
      <c r="E76" s="146" t="s">
        <v>1318</v>
      </c>
      <c r="F76" s="171">
        <v>1119.0</v>
      </c>
      <c r="G76" s="171">
        <v>728.0</v>
      </c>
      <c r="H76" s="171">
        <v>13.0</v>
      </c>
      <c r="I76" s="171">
        <v>0.0</v>
      </c>
      <c r="J76" s="135">
        <v>0.0</v>
      </c>
      <c r="K76" s="171">
        <v>0.0</v>
      </c>
      <c r="L76" s="135">
        <v>0.0</v>
      </c>
      <c r="M76" s="135">
        <v>0.0</v>
      </c>
      <c r="N76" s="171">
        <v>58.0</v>
      </c>
      <c r="O76" s="185">
        <f t="shared" si="21"/>
        <v>71</v>
      </c>
      <c r="P76" s="136">
        <f t="shared" si="22"/>
        <v>9.752747253</v>
      </c>
    </row>
    <row r="77">
      <c r="A77" s="138" t="s">
        <v>1314</v>
      </c>
      <c r="B77" s="132">
        <v>45863.0</v>
      </c>
      <c r="C77" s="138" t="s">
        <v>1317</v>
      </c>
      <c r="D77" s="139">
        <v>1.0</v>
      </c>
      <c r="E77" s="146" t="s">
        <v>1319</v>
      </c>
      <c r="F77" s="171">
        <v>1679.0</v>
      </c>
      <c r="G77" s="135">
        <v>1008.0</v>
      </c>
      <c r="H77" s="171">
        <v>9.0</v>
      </c>
      <c r="I77" s="171">
        <v>0.0</v>
      </c>
      <c r="J77" s="135">
        <v>0.0</v>
      </c>
      <c r="K77" s="171">
        <v>0.0</v>
      </c>
      <c r="L77" s="135">
        <v>0.0</v>
      </c>
      <c r="M77" s="135">
        <v>0.0</v>
      </c>
      <c r="N77" s="135">
        <v>214.0</v>
      </c>
      <c r="O77" s="185">
        <f t="shared" si="21"/>
        <v>223</v>
      </c>
      <c r="P77" s="136">
        <f t="shared" si="22"/>
        <v>22.12301587</v>
      </c>
    </row>
    <row r="78">
      <c r="A78" s="131"/>
      <c r="B78" s="132"/>
      <c r="C78" s="133"/>
      <c r="D78" s="133"/>
      <c r="E78" s="133"/>
      <c r="F78" s="134"/>
      <c r="G78" s="134"/>
      <c r="H78" s="134"/>
      <c r="I78" s="134"/>
      <c r="J78" s="134"/>
      <c r="K78" s="134"/>
      <c r="L78" s="134"/>
      <c r="M78" s="134"/>
      <c r="N78" s="134"/>
      <c r="O78" s="134"/>
      <c r="P78" s="137"/>
    </row>
    <row r="79">
      <c r="A79" s="126" t="s">
        <v>1320</v>
      </c>
      <c r="B79" s="127"/>
      <c r="C79" s="128"/>
      <c r="D79" s="128"/>
      <c r="E79" s="128"/>
      <c r="F79" s="129"/>
      <c r="G79" s="129"/>
      <c r="H79" s="129"/>
      <c r="I79" s="129"/>
      <c r="J79" s="129"/>
      <c r="K79" s="129"/>
      <c r="L79" s="129"/>
      <c r="M79" s="129"/>
      <c r="N79" s="129"/>
      <c r="O79" s="129"/>
      <c r="P79" s="130"/>
    </row>
    <row r="80">
      <c r="A80" s="138" t="s">
        <v>1321</v>
      </c>
      <c r="B80" s="132">
        <v>45857.0</v>
      </c>
      <c r="C80" s="138" t="s">
        <v>1243</v>
      </c>
      <c r="D80" s="139">
        <v>1.0</v>
      </c>
      <c r="E80" s="193" t="s">
        <v>1322</v>
      </c>
      <c r="F80" s="173">
        <v>16059.0</v>
      </c>
      <c r="G80" s="173">
        <v>8877.0</v>
      </c>
      <c r="H80" s="177">
        <v>953.0</v>
      </c>
      <c r="I80" s="177">
        <v>48.0</v>
      </c>
      <c r="J80" s="177">
        <v>27.0</v>
      </c>
      <c r="K80" s="177">
        <v>468.0</v>
      </c>
      <c r="L80" s="177">
        <v>73.0</v>
      </c>
      <c r="M80" s="177">
        <v>0.0</v>
      </c>
      <c r="N80" s="177">
        <v>1.0</v>
      </c>
      <c r="O80" s="173">
        <f t="shared" ref="O80:O82" si="23">SUM(H80:N80)</f>
        <v>1570</v>
      </c>
      <c r="P80" s="178">
        <f t="shared" ref="P80:P82" si="24">O80/G80*100</f>
        <v>17.68615523</v>
      </c>
    </row>
    <row r="81">
      <c r="A81" s="188" t="s">
        <v>1301</v>
      </c>
      <c r="B81" s="132">
        <v>45862.0</v>
      </c>
      <c r="C81" s="138" t="s">
        <v>19</v>
      </c>
      <c r="D81" s="139">
        <v>1.0</v>
      </c>
      <c r="E81" s="194" t="s">
        <v>1323</v>
      </c>
      <c r="F81" s="150">
        <v>15700.0</v>
      </c>
      <c r="G81" s="173">
        <v>2079.0</v>
      </c>
      <c r="H81" s="177">
        <v>550.0</v>
      </c>
      <c r="I81" s="177">
        <v>84.0</v>
      </c>
      <c r="J81" s="177">
        <v>41.0</v>
      </c>
      <c r="K81" s="177">
        <v>964.0</v>
      </c>
      <c r="L81" s="189" t="s">
        <v>32</v>
      </c>
      <c r="M81" s="189" t="s">
        <v>32</v>
      </c>
      <c r="N81" s="143"/>
      <c r="O81" s="173">
        <f t="shared" si="23"/>
        <v>1639</v>
      </c>
      <c r="P81" s="178">
        <f t="shared" si="24"/>
        <v>78.83597884</v>
      </c>
    </row>
    <row r="82">
      <c r="A82" s="188" t="s">
        <v>1303</v>
      </c>
      <c r="B82" s="132">
        <v>45863.0</v>
      </c>
      <c r="C82" s="138" t="s">
        <v>19</v>
      </c>
      <c r="D82" s="139">
        <v>1.0</v>
      </c>
      <c r="E82" s="194" t="s">
        <v>1324</v>
      </c>
      <c r="F82" s="150">
        <v>8168.0</v>
      </c>
      <c r="G82" s="173">
        <v>2319.0</v>
      </c>
      <c r="H82" s="177">
        <v>235.0</v>
      </c>
      <c r="I82" s="177">
        <v>63.0</v>
      </c>
      <c r="J82" s="177">
        <v>1.0</v>
      </c>
      <c r="K82" s="177">
        <v>100.0</v>
      </c>
      <c r="L82" s="189" t="s">
        <v>32</v>
      </c>
      <c r="M82" s="189" t="s">
        <v>32</v>
      </c>
      <c r="N82" s="143"/>
      <c r="O82" s="173">
        <f t="shared" si="23"/>
        <v>399</v>
      </c>
      <c r="P82" s="178">
        <f t="shared" si="24"/>
        <v>17.20569211</v>
      </c>
    </row>
    <row r="83">
      <c r="A83" s="131"/>
      <c r="B83" s="132"/>
      <c r="C83" s="133"/>
      <c r="D83" s="133"/>
      <c r="E83" s="133"/>
      <c r="F83" s="134"/>
      <c r="G83" s="134"/>
      <c r="H83" s="134"/>
      <c r="I83" s="134"/>
      <c r="J83" s="134"/>
      <c r="K83" s="134"/>
      <c r="L83" s="134"/>
      <c r="M83" s="134"/>
      <c r="N83" s="134"/>
      <c r="O83" s="134"/>
      <c r="P83" s="195"/>
    </row>
    <row r="84">
      <c r="A84" s="121" t="s">
        <v>1325</v>
      </c>
      <c r="B84" s="122"/>
      <c r="C84" s="123"/>
      <c r="D84" s="123"/>
      <c r="E84" s="123"/>
      <c r="F84" s="124"/>
      <c r="G84" s="124"/>
      <c r="H84" s="124"/>
      <c r="I84" s="124"/>
      <c r="J84" s="124"/>
      <c r="K84" s="124"/>
      <c r="L84" s="124"/>
      <c r="M84" s="124"/>
      <c r="N84" s="124"/>
      <c r="O84" s="124"/>
      <c r="P84" s="152"/>
    </row>
    <row r="85">
      <c r="A85" s="126" t="s">
        <v>1222</v>
      </c>
      <c r="B85" s="127"/>
      <c r="C85" s="128"/>
      <c r="D85" s="128"/>
      <c r="E85" s="128"/>
      <c r="F85" s="129"/>
      <c r="G85" s="129"/>
      <c r="H85" s="129"/>
      <c r="I85" s="129"/>
      <c r="J85" s="129"/>
      <c r="K85" s="129"/>
      <c r="L85" s="129"/>
      <c r="M85" s="129"/>
      <c r="N85" s="129"/>
      <c r="O85" s="129"/>
      <c r="P85" s="130"/>
    </row>
    <row r="86">
      <c r="A86" s="138" t="s">
        <v>1326</v>
      </c>
      <c r="B86" s="132">
        <v>45877.0</v>
      </c>
      <c r="C86" s="138" t="s">
        <v>1327</v>
      </c>
      <c r="D86" s="139">
        <v>1.0</v>
      </c>
      <c r="E86" s="146" t="s">
        <v>1328</v>
      </c>
      <c r="F86" s="173">
        <v>12640.0</v>
      </c>
      <c r="G86" s="173">
        <v>4382.0</v>
      </c>
      <c r="H86" s="177">
        <v>426.0</v>
      </c>
      <c r="I86" s="177">
        <v>37.0</v>
      </c>
      <c r="J86" s="177">
        <v>8.0</v>
      </c>
      <c r="K86" s="177">
        <v>160.0</v>
      </c>
      <c r="L86" s="177">
        <v>97.0</v>
      </c>
      <c r="M86" s="177">
        <v>0.0</v>
      </c>
      <c r="N86" s="177">
        <v>3.0</v>
      </c>
      <c r="O86" s="173">
        <f t="shared" ref="O86:O88" si="25">SUM(H86:N86)</f>
        <v>731</v>
      </c>
      <c r="P86" s="178">
        <f t="shared" ref="P86:P88" si="26">O86/G86*100</f>
        <v>16.68188042</v>
      </c>
    </row>
    <row r="87">
      <c r="A87" s="138" t="s">
        <v>1329</v>
      </c>
      <c r="B87" s="132">
        <v>45881.0</v>
      </c>
      <c r="C87" s="138" t="s">
        <v>19</v>
      </c>
      <c r="D87" s="139">
        <v>1.0</v>
      </c>
      <c r="E87" s="146" t="s">
        <v>1330</v>
      </c>
      <c r="F87" s="173">
        <v>6134.0</v>
      </c>
      <c r="G87" s="173">
        <v>3434.0</v>
      </c>
      <c r="H87" s="177">
        <v>424.0</v>
      </c>
      <c r="I87" s="177">
        <v>21.0</v>
      </c>
      <c r="J87" s="177">
        <v>3.0</v>
      </c>
      <c r="K87" s="177">
        <v>162.0</v>
      </c>
      <c r="L87" s="177">
        <v>0.0</v>
      </c>
      <c r="M87" s="177">
        <v>0.0</v>
      </c>
      <c r="N87" s="177">
        <v>0.0</v>
      </c>
      <c r="O87" s="173">
        <f t="shared" si="25"/>
        <v>610</v>
      </c>
      <c r="P87" s="178">
        <f t="shared" si="26"/>
        <v>17.76354106</v>
      </c>
    </row>
    <row r="88">
      <c r="A88" s="133"/>
      <c r="B88" s="132"/>
      <c r="C88" s="133"/>
      <c r="D88" s="133"/>
      <c r="E88" s="133"/>
      <c r="F88" s="191"/>
      <c r="G88" s="191"/>
      <c r="H88" s="143"/>
      <c r="I88" s="143"/>
      <c r="J88" s="143"/>
      <c r="K88" s="143"/>
      <c r="L88" s="143"/>
      <c r="M88" s="143"/>
      <c r="N88" s="143"/>
      <c r="O88" s="196">
        <f t="shared" si="25"/>
        <v>0</v>
      </c>
      <c r="P88" s="197" t="str">
        <f t="shared" si="26"/>
        <v>#DIV/0!</v>
      </c>
    </row>
    <row r="89">
      <c r="A89" s="131"/>
      <c r="B89" s="132"/>
      <c r="C89" s="133"/>
      <c r="D89" s="133"/>
      <c r="E89" s="133"/>
      <c r="F89" s="191"/>
      <c r="G89" s="191"/>
      <c r="H89" s="143"/>
      <c r="I89" s="143"/>
      <c r="J89" s="143"/>
      <c r="K89" s="143"/>
      <c r="L89" s="143"/>
      <c r="M89" s="143"/>
      <c r="N89" s="143"/>
      <c r="O89" s="191"/>
      <c r="P89" s="192"/>
    </row>
    <row r="90">
      <c r="A90" s="126" t="s">
        <v>1257</v>
      </c>
      <c r="B90" s="127"/>
      <c r="C90" s="128"/>
      <c r="D90" s="128"/>
      <c r="E90" s="128"/>
      <c r="F90" s="129"/>
      <c r="G90" s="129"/>
      <c r="H90" s="129"/>
      <c r="I90" s="129"/>
      <c r="J90" s="129"/>
      <c r="K90" s="129"/>
      <c r="L90" s="129"/>
      <c r="M90" s="129"/>
      <c r="N90" s="129"/>
      <c r="O90" s="129"/>
      <c r="P90" s="130"/>
    </row>
    <row r="91">
      <c r="A91" s="138" t="s">
        <v>1326</v>
      </c>
      <c r="B91" s="132">
        <v>45877.0</v>
      </c>
      <c r="C91" s="138" t="s">
        <v>1331</v>
      </c>
      <c r="D91" s="139">
        <v>1.0</v>
      </c>
      <c r="E91" s="146" t="s">
        <v>1332</v>
      </c>
      <c r="F91" s="171">
        <v>2586.0</v>
      </c>
      <c r="G91" s="171">
        <v>1632.0</v>
      </c>
      <c r="H91" s="171">
        <v>28.0</v>
      </c>
      <c r="I91" s="171">
        <v>0.0</v>
      </c>
      <c r="J91" s="135">
        <v>0.0</v>
      </c>
      <c r="K91" s="171">
        <v>4.0</v>
      </c>
      <c r="L91" s="135">
        <v>0.0</v>
      </c>
      <c r="M91" s="135">
        <v>0.0</v>
      </c>
      <c r="N91" s="135">
        <v>1135.0</v>
      </c>
      <c r="O91" s="185">
        <f t="shared" ref="O91:O92" si="27">SUM(H91:N91)</f>
        <v>1167</v>
      </c>
      <c r="P91" s="136">
        <f t="shared" ref="P91:P92" si="28">O91/G91*100</f>
        <v>71.50735294</v>
      </c>
    </row>
    <row r="92">
      <c r="A92" s="138" t="s">
        <v>1329</v>
      </c>
      <c r="B92" s="132">
        <v>45881.0</v>
      </c>
      <c r="C92" s="138" t="s">
        <v>1263</v>
      </c>
      <c r="D92" s="139">
        <v>1.0</v>
      </c>
      <c r="E92" s="146" t="s">
        <v>1333</v>
      </c>
      <c r="F92" s="171">
        <v>1277.0</v>
      </c>
      <c r="G92" s="171">
        <v>866.0</v>
      </c>
      <c r="H92" s="171">
        <v>13.0</v>
      </c>
      <c r="I92" s="171">
        <v>0.0</v>
      </c>
      <c r="J92" s="135">
        <v>0.0</v>
      </c>
      <c r="K92" s="171">
        <v>3.0</v>
      </c>
      <c r="L92" s="135">
        <v>0.0</v>
      </c>
      <c r="M92" s="135">
        <v>0.0</v>
      </c>
      <c r="N92" s="135">
        <v>332.0</v>
      </c>
      <c r="O92" s="185">
        <f t="shared" si="27"/>
        <v>348</v>
      </c>
      <c r="P92" s="136">
        <f t="shared" si="28"/>
        <v>40.18475751</v>
      </c>
    </row>
    <row r="93">
      <c r="A93" s="131"/>
      <c r="B93" s="132"/>
      <c r="C93" s="133"/>
      <c r="D93" s="133"/>
      <c r="E93" s="133"/>
      <c r="F93" s="191"/>
      <c r="G93" s="191"/>
      <c r="H93" s="143"/>
      <c r="I93" s="143"/>
      <c r="J93" s="143"/>
      <c r="K93" s="143"/>
      <c r="L93" s="143"/>
      <c r="M93" s="143"/>
      <c r="N93" s="143"/>
      <c r="O93" s="191"/>
      <c r="P93" s="192"/>
    </row>
    <row r="94">
      <c r="A94" s="131"/>
      <c r="B94" s="132"/>
      <c r="C94" s="133"/>
      <c r="D94" s="133"/>
      <c r="E94" s="133"/>
      <c r="F94" s="134"/>
      <c r="G94" s="134"/>
      <c r="H94" s="134"/>
      <c r="I94" s="134"/>
      <c r="J94" s="134"/>
      <c r="K94" s="134"/>
      <c r="L94" s="134"/>
      <c r="M94" s="134"/>
      <c r="N94" s="134"/>
      <c r="O94" s="134"/>
      <c r="P94" s="137"/>
    </row>
    <row r="95">
      <c r="A95" s="126" t="s">
        <v>1334</v>
      </c>
      <c r="B95" s="127"/>
      <c r="C95" s="128"/>
      <c r="D95" s="128"/>
      <c r="E95" s="128"/>
      <c r="F95" s="129"/>
      <c r="G95" s="129"/>
      <c r="H95" s="129"/>
      <c r="I95" s="129"/>
      <c r="J95" s="129"/>
      <c r="K95" s="129"/>
      <c r="L95" s="129"/>
      <c r="M95" s="129"/>
      <c r="N95" s="129"/>
      <c r="O95" s="129"/>
      <c r="P95" s="130"/>
    </row>
    <row r="96">
      <c r="A96" s="198" t="s">
        <v>1335</v>
      </c>
      <c r="B96" s="133" t="s">
        <v>1336</v>
      </c>
      <c r="C96" s="138" t="s">
        <v>1327</v>
      </c>
      <c r="D96" s="139">
        <v>1.0</v>
      </c>
      <c r="E96" s="146" t="s">
        <v>1337</v>
      </c>
      <c r="F96" s="135">
        <v>22224.0</v>
      </c>
      <c r="G96" s="135">
        <v>15576.0</v>
      </c>
      <c r="H96" s="135">
        <v>20.0</v>
      </c>
      <c r="I96" s="135">
        <v>0.0</v>
      </c>
      <c r="J96" s="135">
        <v>1.0</v>
      </c>
      <c r="K96" s="135">
        <v>0.0</v>
      </c>
      <c r="L96" s="135">
        <v>20.0</v>
      </c>
      <c r="M96" s="135">
        <v>0.0</v>
      </c>
      <c r="N96" s="135">
        <v>157.0</v>
      </c>
      <c r="O96" s="135">
        <f t="shared" ref="O96:O113" si="29">sum(H96:N96)</f>
        <v>198</v>
      </c>
      <c r="P96" s="199">
        <f t="shared" ref="P96:P113" si="30">O96/G96*100</f>
        <v>1.271186441</v>
      </c>
    </row>
    <row r="97">
      <c r="A97" s="200" t="s">
        <v>1335</v>
      </c>
      <c r="B97" s="133" t="s">
        <v>1338</v>
      </c>
      <c r="C97" s="138" t="s">
        <v>245</v>
      </c>
      <c r="D97" s="139">
        <v>1.0</v>
      </c>
      <c r="E97" s="146" t="s">
        <v>1339</v>
      </c>
      <c r="F97" s="135">
        <v>326.0</v>
      </c>
      <c r="G97" s="135">
        <v>313.0</v>
      </c>
      <c r="H97" s="135">
        <v>0.0</v>
      </c>
      <c r="I97" s="135">
        <v>0.0</v>
      </c>
      <c r="J97" s="135">
        <v>0.0</v>
      </c>
      <c r="K97" s="135">
        <v>0.0</v>
      </c>
      <c r="L97" s="135">
        <v>5.0</v>
      </c>
      <c r="M97" s="135">
        <v>0.0</v>
      </c>
      <c r="N97" s="135">
        <v>0.0</v>
      </c>
      <c r="O97" s="135">
        <f t="shared" si="29"/>
        <v>5</v>
      </c>
      <c r="P97" s="199">
        <f t="shared" si="30"/>
        <v>1.597444089</v>
      </c>
    </row>
    <row r="98">
      <c r="A98" s="198" t="s">
        <v>1340</v>
      </c>
      <c r="B98" s="133" t="s">
        <v>1336</v>
      </c>
      <c r="C98" s="138" t="s">
        <v>1327</v>
      </c>
      <c r="D98" s="139">
        <v>1.0</v>
      </c>
      <c r="E98" s="146" t="s">
        <v>1341</v>
      </c>
      <c r="F98" s="135">
        <v>42200.0</v>
      </c>
      <c r="G98" s="135">
        <v>26134.0</v>
      </c>
      <c r="H98" s="135">
        <v>82.0</v>
      </c>
      <c r="I98" s="135">
        <v>24.0</v>
      </c>
      <c r="J98" s="135">
        <v>51.0</v>
      </c>
      <c r="K98" s="135">
        <v>20.0</v>
      </c>
      <c r="L98" s="135">
        <v>244.0</v>
      </c>
      <c r="M98" s="135">
        <v>0.0</v>
      </c>
      <c r="N98" s="135">
        <v>1227.0</v>
      </c>
      <c r="O98" s="135">
        <f t="shared" si="29"/>
        <v>1648</v>
      </c>
      <c r="P98" s="199">
        <f t="shared" si="30"/>
        <v>6.305961583</v>
      </c>
    </row>
    <row r="99">
      <c r="A99" s="198" t="s">
        <v>1340</v>
      </c>
      <c r="B99" s="133" t="s">
        <v>1338</v>
      </c>
      <c r="C99" s="138" t="s">
        <v>245</v>
      </c>
      <c r="D99" s="139">
        <v>1.0</v>
      </c>
      <c r="E99" s="146" t="s">
        <v>1342</v>
      </c>
      <c r="F99" s="135">
        <v>1802.0</v>
      </c>
      <c r="G99" s="135">
        <v>1716.0</v>
      </c>
      <c r="H99" s="135">
        <v>0.0</v>
      </c>
      <c r="I99" s="135">
        <v>0.0</v>
      </c>
      <c r="J99" s="135">
        <v>0.0</v>
      </c>
      <c r="K99" s="135">
        <v>0.0</v>
      </c>
      <c r="L99" s="135">
        <v>2.0</v>
      </c>
      <c r="M99" s="135">
        <v>0.0</v>
      </c>
      <c r="N99" s="135">
        <v>1.0</v>
      </c>
      <c r="O99" s="135">
        <f t="shared" si="29"/>
        <v>3</v>
      </c>
      <c r="P99" s="199">
        <f t="shared" si="30"/>
        <v>0.1748251748</v>
      </c>
    </row>
    <row r="100">
      <c r="A100" s="198" t="s">
        <v>1343</v>
      </c>
      <c r="B100" s="133" t="s">
        <v>1336</v>
      </c>
      <c r="C100" s="138" t="s">
        <v>1327</v>
      </c>
      <c r="D100" s="139">
        <v>1.0</v>
      </c>
      <c r="E100" s="146" t="s">
        <v>1344</v>
      </c>
      <c r="F100" s="135">
        <v>54579.0</v>
      </c>
      <c r="G100" s="135">
        <v>32228.0</v>
      </c>
      <c r="H100" s="135">
        <v>90.0</v>
      </c>
      <c r="I100" s="135">
        <v>0.0</v>
      </c>
      <c r="J100" s="135">
        <v>10.0</v>
      </c>
      <c r="K100" s="135">
        <v>6.0</v>
      </c>
      <c r="L100" s="135">
        <v>139.0</v>
      </c>
      <c r="M100" s="135">
        <v>0.0</v>
      </c>
      <c r="N100" s="135">
        <v>705.0</v>
      </c>
      <c r="O100" s="135">
        <f t="shared" si="29"/>
        <v>950</v>
      </c>
      <c r="P100" s="199">
        <f t="shared" si="30"/>
        <v>2.9477473</v>
      </c>
    </row>
    <row r="101">
      <c r="A101" s="198" t="s">
        <v>1343</v>
      </c>
      <c r="B101" s="133" t="s">
        <v>1338</v>
      </c>
      <c r="C101" s="138" t="s">
        <v>245</v>
      </c>
      <c r="D101" s="139">
        <v>1.0</v>
      </c>
      <c r="E101" s="146" t="s">
        <v>1345</v>
      </c>
      <c r="F101" s="135">
        <v>5139.0</v>
      </c>
      <c r="G101" s="135">
        <v>5016.0</v>
      </c>
      <c r="H101" s="135">
        <v>5.0</v>
      </c>
      <c r="I101" s="135">
        <v>0.0</v>
      </c>
      <c r="J101" s="135">
        <v>0.0</v>
      </c>
      <c r="K101" s="135">
        <v>1.0</v>
      </c>
      <c r="L101" s="135">
        <v>11.0</v>
      </c>
      <c r="M101" s="135">
        <v>0.0</v>
      </c>
      <c r="N101" s="135">
        <v>4.0</v>
      </c>
      <c r="O101" s="135">
        <f t="shared" si="29"/>
        <v>21</v>
      </c>
      <c r="P101" s="199">
        <f t="shared" si="30"/>
        <v>0.4186602871</v>
      </c>
    </row>
    <row r="102">
      <c r="A102" s="198" t="s">
        <v>1346</v>
      </c>
      <c r="B102" s="133" t="s">
        <v>1336</v>
      </c>
      <c r="C102" s="138" t="s">
        <v>1327</v>
      </c>
      <c r="D102" s="139">
        <v>1.0</v>
      </c>
      <c r="E102" s="146" t="s">
        <v>1347</v>
      </c>
      <c r="F102" s="135">
        <v>16656.0</v>
      </c>
      <c r="G102" s="135">
        <v>11184.0</v>
      </c>
      <c r="H102" s="135">
        <v>69.0</v>
      </c>
      <c r="I102" s="135">
        <v>3.0</v>
      </c>
      <c r="J102" s="135">
        <v>9.0</v>
      </c>
      <c r="K102" s="135">
        <v>6.0</v>
      </c>
      <c r="L102" s="135">
        <v>296.0</v>
      </c>
      <c r="M102" s="135">
        <v>0.0</v>
      </c>
      <c r="N102" s="135">
        <v>296.0</v>
      </c>
      <c r="O102" s="135">
        <f t="shared" si="29"/>
        <v>679</v>
      </c>
      <c r="P102" s="199">
        <f t="shared" si="30"/>
        <v>6.071173104</v>
      </c>
    </row>
    <row r="103">
      <c r="A103" s="198" t="s">
        <v>1346</v>
      </c>
      <c r="B103" s="133" t="s">
        <v>1338</v>
      </c>
      <c r="C103" s="138" t="s">
        <v>245</v>
      </c>
      <c r="D103" s="139">
        <v>1.0</v>
      </c>
      <c r="E103" s="146" t="s">
        <v>1348</v>
      </c>
      <c r="F103" s="135">
        <v>712.0</v>
      </c>
      <c r="G103" s="135">
        <v>690.0</v>
      </c>
      <c r="H103" s="135">
        <v>0.0</v>
      </c>
      <c r="I103" s="135">
        <v>0.0</v>
      </c>
      <c r="J103" s="135">
        <v>0.0</v>
      </c>
      <c r="K103" s="135">
        <v>0.0</v>
      </c>
      <c r="L103" s="135">
        <v>2.0</v>
      </c>
      <c r="M103" s="135">
        <v>0.0</v>
      </c>
      <c r="N103" s="135">
        <v>1.0</v>
      </c>
      <c r="O103" s="135">
        <f t="shared" si="29"/>
        <v>3</v>
      </c>
      <c r="P103" s="199">
        <f t="shared" si="30"/>
        <v>0.4347826087</v>
      </c>
    </row>
    <row r="104">
      <c r="A104" s="198" t="s">
        <v>1349</v>
      </c>
      <c r="B104" s="133" t="s">
        <v>1336</v>
      </c>
      <c r="C104" s="138" t="s">
        <v>1327</v>
      </c>
      <c r="D104" s="139">
        <v>1.0</v>
      </c>
      <c r="E104" s="146" t="s">
        <v>1350</v>
      </c>
      <c r="F104" s="135">
        <v>78078.0</v>
      </c>
      <c r="G104" s="135">
        <v>48939.0</v>
      </c>
      <c r="H104" s="135">
        <v>315.0</v>
      </c>
      <c r="I104" s="135">
        <v>1.0</v>
      </c>
      <c r="J104" s="135">
        <v>7.0</v>
      </c>
      <c r="K104" s="135">
        <v>1.0</v>
      </c>
      <c r="L104" s="135">
        <v>7.0</v>
      </c>
      <c r="M104" s="135">
        <v>0.0</v>
      </c>
      <c r="N104" s="135">
        <v>229.0</v>
      </c>
      <c r="O104" s="135">
        <f t="shared" si="29"/>
        <v>560</v>
      </c>
      <c r="P104" s="199">
        <f t="shared" si="30"/>
        <v>1.144281657</v>
      </c>
    </row>
    <row r="105">
      <c r="A105" s="198" t="s">
        <v>1349</v>
      </c>
      <c r="B105" s="133" t="s">
        <v>1338</v>
      </c>
      <c r="C105" s="138" t="s">
        <v>245</v>
      </c>
      <c r="D105" s="139">
        <v>1.0</v>
      </c>
      <c r="E105" s="146" t="s">
        <v>1351</v>
      </c>
      <c r="F105" s="135">
        <v>19906.0</v>
      </c>
      <c r="G105" s="135">
        <v>18521.0</v>
      </c>
      <c r="H105" s="135">
        <v>5.0</v>
      </c>
      <c r="I105" s="135">
        <v>0.0</v>
      </c>
      <c r="J105" s="135">
        <v>0.0</v>
      </c>
      <c r="K105" s="135">
        <v>0.0</v>
      </c>
      <c r="L105" s="135">
        <v>89.0</v>
      </c>
      <c r="M105" s="135">
        <v>1.0</v>
      </c>
      <c r="N105" s="135">
        <v>53.0</v>
      </c>
      <c r="O105" s="135">
        <f t="shared" si="29"/>
        <v>148</v>
      </c>
      <c r="P105" s="199">
        <f t="shared" si="30"/>
        <v>0.7990929215</v>
      </c>
    </row>
    <row r="106">
      <c r="A106" s="198" t="s">
        <v>1352</v>
      </c>
      <c r="B106" s="133" t="s">
        <v>1336</v>
      </c>
      <c r="C106" s="138" t="s">
        <v>1327</v>
      </c>
      <c r="D106" s="139">
        <v>1.0</v>
      </c>
      <c r="E106" s="146" t="s">
        <v>1353</v>
      </c>
      <c r="F106" s="135">
        <v>229009.0</v>
      </c>
      <c r="G106" s="135">
        <v>96798.0</v>
      </c>
      <c r="H106" s="135">
        <v>93.0</v>
      </c>
      <c r="I106" s="135">
        <v>0.0</v>
      </c>
      <c r="J106" s="135">
        <v>4.0</v>
      </c>
      <c r="K106" s="135">
        <v>0.0</v>
      </c>
      <c r="L106" s="135">
        <v>48.0</v>
      </c>
      <c r="M106" s="135">
        <v>0.0</v>
      </c>
      <c r="N106" s="135">
        <v>1354.0</v>
      </c>
      <c r="O106" s="135">
        <f t="shared" si="29"/>
        <v>1499</v>
      </c>
      <c r="P106" s="199">
        <f t="shared" si="30"/>
        <v>1.548585715</v>
      </c>
    </row>
    <row r="107">
      <c r="A107" s="200" t="s">
        <v>1352</v>
      </c>
      <c r="B107" s="133" t="s">
        <v>1338</v>
      </c>
      <c r="C107" s="138" t="s">
        <v>245</v>
      </c>
      <c r="D107" s="139">
        <v>1.0</v>
      </c>
      <c r="E107" s="146" t="s">
        <v>1354</v>
      </c>
      <c r="F107" s="135">
        <v>35633.0</v>
      </c>
      <c r="G107" s="135">
        <v>32080.0</v>
      </c>
      <c r="H107" s="135">
        <v>1.0</v>
      </c>
      <c r="I107" s="135">
        <v>0.0</v>
      </c>
      <c r="J107" s="135">
        <v>0.0</v>
      </c>
      <c r="K107" s="135">
        <v>0.0</v>
      </c>
      <c r="L107" s="135">
        <v>47.0</v>
      </c>
      <c r="M107" s="135">
        <v>0.0</v>
      </c>
      <c r="N107" s="135">
        <v>34.0</v>
      </c>
      <c r="O107" s="135">
        <f t="shared" si="29"/>
        <v>82</v>
      </c>
      <c r="P107" s="199">
        <f t="shared" si="30"/>
        <v>0.2556109726</v>
      </c>
    </row>
    <row r="108">
      <c r="A108" s="198" t="s">
        <v>1355</v>
      </c>
      <c r="B108" s="133" t="s">
        <v>1336</v>
      </c>
      <c r="C108" s="138" t="s">
        <v>1327</v>
      </c>
      <c r="D108" s="139">
        <v>1.0</v>
      </c>
      <c r="E108" s="146" t="s">
        <v>1356</v>
      </c>
      <c r="F108" s="135">
        <v>5582.0</v>
      </c>
      <c r="G108" s="135">
        <v>3515.0</v>
      </c>
      <c r="H108" s="135">
        <v>20.0</v>
      </c>
      <c r="I108" s="135">
        <v>2.0</v>
      </c>
      <c r="J108" s="135">
        <v>5.0</v>
      </c>
      <c r="K108" s="135">
        <v>5.0</v>
      </c>
      <c r="L108" s="135">
        <v>6.0</v>
      </c>
      <c r="M108" s="135">
        <v>0.0</v>
      </c>
      <c r="N108" s="135">
        <v>2.0</v>
      </c>
      <c r="O108" s="135">
        <f t="shared" si="29"/>
        <v>40</v>
      </c>
      <c r="P108" s="199">
        <f t="shared" si="30"/>
        <v>1.137980085</v>
      </c>
    </row>
    <row r="109">
      <c r="A109" s="198" t="s">
        <v>1355</v>
      </c>
      <c r="B109" s="133" t="s">
        <v>1338</v>
      </c>
      <c r="C109" s="138" t="s">
        <v>245</v>
      </c>
      <c r="D109" s="139">
        <v>1.0</v>
      </c>
      <c r="E109" s="146" t="s">
        <v>1357</v>
      </c>
      <c r="F109" s="135">
        <v>584.0</v>
      </c>
      <c r="G109" s="135">
        <v>560.0</v>
      </c>
      <c r="H109" s="135">
        <v>0.0</v>
      </c>
      <c r="I109" s="135">
        <v>0.0</v>
      </c>
      <c r="J109" s="135">
        <v>0.0</v>
      </c>
      <c r="K109" s="135">
        <v>0.0</v>
      </c>
      <c r="L109" s="135">
        <v>4.0</v>
      </c>
      <c r="M109" s="135">
        <v>1.0</v>
      </c>
      <c r="N109" s="135">
        <v>4.0</v>
      </c>
      <c r="O109" s="135">
        <f t="shared" si="29"/>
        <v>9</v>
      </c>
      <c r="P109" s="199">
        <f t="shared" si="30"/>
        <v>1.607142857</v>
      </c>
    </row>
    <row r="110">
      <c r="A110" s="201" t="s">
        <v>1358</v>
      </c>
      <c r="B110" s="133" t="s">
        <v>1359</v>
      </c>
      <c r="C110" s="138" t="s">
        <v>1327</v>
      </c>
      <c r="D110" s="139">
        <v>1.0</v>
      </c>
      <c r="E110" s="146" t="s">
        <v>1360</v>
      </c>
      <c r="F110" s="135">
        <v>42511.0</v>
      </c>
      <c r="G110" s="135">
        <v>34100.0</v>
      </c>
      <c r="H110" s="135">
        <v>534.0</v>
      </c>
      <c r="I110" s="135">
        <v>8.0</v>
      </c>
      <c r="J110" s="135">
        <v>40.0</v>
      </c>
      <c r="K110" s="135">
        <v>69.0</v>
      </c>
      <c r="L110" s="135">
        <v>398.0</v>
      </c>
      <c r="M110" s="135">
        <v>0.0</v>
      </c>
      <c r="N110" s="135">
        <v>110.0</v>
      </c>
      <c r="O110" s="135">
        <f t="shared" si="29"/>
        <v>1159</v>
      </c>
      <c r="P110" s="199">
        <f t="shared" si="30"/>
        <v>3.398826979</v>
      </c>
    </row>
    <row r="111">
      <c r="A111" s="198" t="s">
        <v>1358</v>
      </c>
      <c r="B111" s="133" t="s">
        <v>1338</v>
      </c>
      <c r="C111" s="138" t="s">
        <v>245</v>
      </c>
      <c r="D111" s="139">
        <v>1.0</v>
      </c>
      <c r="E111" s="146" t="s">
        <v>1361</v>
      </c>
      <c r="F111" s="135">
        <v>930.0</v>
      </c>
      <c r="G111" s="135">
        <v>881.0</v>
      </c>
      <c r="H111" s="135">
        <v>1.0</v>
      </c>
      <c r="I111" s="135">
        <v>0.0</v>
      </c>
      <c r="J111" s="135">
        <v>0.0</v>
      </c>
      <c r="K111" s="135">
        <v>0.0</v>
      </c>
      <c r="L111" s="135">
        <v>0.0</v>
      </c>
      <c r="M111" s="135">
        <v>0.0</v>
      </c>
      <c r="N111" s="135">
        <v>3.0</v>
      </c>
      <c r="O111" s="135">
        <f t="shared" si="29"/>
        <v>4</v>
      </c>
      <c r="P111" s="199">
        <f t="shared" si="30"/>
        <v>0.4540295119</v>
      </c>
    </row>
    <row r="112">
      <c r="A112" s="201" t="s">
        <v>1362</v>
      </c>
      <c r="B112" s="133" t="s">
        <v>1359</v>
      </c>
      <c r="C112" s="138" t="s">
        <v>1327</v>
      </c>
      <c r="D112" s="139">
        <v>1.0</v>
      </c>
      <c r="E112" s="146" t="s">
        <v>1363</v>
      </c>
      <c r="F112" s="135">
        <v>111713.0</v>
      </c>
      <c r="G112" s="135">
        <v>94392.0</v>
      </c>
      <c r="H112" s="135">
        <v>1831.0</v>
      </c>
      <c r="I112" s="135">
        <v>21.0</v>
      </c>
      <c r="J112" s="135">
        <v>87.0</v>
      </c>
      <c r="K112" s="135">
        <v>22.0</v>
      </c>
      <c r="L112" s="135">
        <v>121.0</v>
      </c>
      <c r="M112" s="135">
        <v>0.0</v>
      </c>
      <c r="N112" s="135">
        <v>2815.0</v>
      </c>
      <c r="O112" s="135">
        <f t="shared" si="29"/>
        <v>4897</v>
      </c>
      <c r="P112" s="199">
        <f t="shared" si="30"/>
        <v>5.187939656</v>
      </c>
    </row>
    <row r="113">
      <c r="A113" s="201" t="s">
        <v>1364</v>
      </c>
      <c r="B113" s="202">
        <v>45798.0</v>
      </c>
      <c r="C113" s="74" t="s">
        <v>1365</v>
      </c>
      <c r="D113" s="203">
        <v>1.0</v>
      </c>
      <c r="E113" s="204" t="s">
        <v>1366</v>
      </c>
      <c r="F113" s="142">
        <v>122982.0</v>
      </c>
      <c r="G113" s="142">
        <v>74026.0</v>
      </c>
      <c r="H113" s="205">
        <v>792.0</v>
      </c>
      <c r="I113" s="205">
        <v>2.0</v>
      </c>
      <c r="J113" s="205">
        <v>15.0</v>
      </c>
      <c r="K113" s="205">
        <v>24.0</v>
      </c>
      <c r="L113" s="205">
        <v>0.0</v>
      </c>
      <c r="M113" s="205">
        <v>0.0</v>
      </c>
      <c r="N113" s="205">
        <v>0.0</v>
      </c>
      <c r="O113" s="135">
        <f t="shared" si="29"/>
        <v>833</v>
      </c>
      <c r="P113" s="199">
        <f t="shared" si="30"/>
        <v>1.125280307</v>
      </c>
    </row>
    <row r="114">
      <c r="A114" s="74"/>
      <c r="B114" s="74"/>
      <c r="C114" s="74"/>
      <c r="D114" s="74"/>
      <c r="E114" s="74"/>
      <c r="F114" s="74"/>
      <c r="G114" s="74"/>
      <c r="H114" s="74"/>
      <c r="I114" s="74"/>
      <c r="J114" s="74"/>
      <c r="K114" s="74"/>
      <c r="L114" s="74"/>
      <c r="M114" s="74"/>
      <c r="N114" s="74"/>
      <c r="O114" s="74"/>
      <c r="P114" s="74"/>
    </row>
    <row r="115">
      <c r="A115" s="206" t="s">
        <v>1367</v>
      </c>
      <c r="B115" s="207"/>
      <c r="C115" s="207"/>
      <c r="D115" s="207"/>
      <c r="E115" s="207"/>
      <c r="F115" s="207"/>
      <c r="G115" s="207"/>
      <c r="H115" s="207"/>
      <c r="I115" s="207"/>
      <c r="J115" s="207"/>
      <c r="K115" s="207"/>
      <c r="L115" s="207"/>
      <c r="M115" s="207"/>
      <c r="N115" s="207"/>
      <c r="O115" s="207"/>
      <c r="P115" s="207"/>
    </row>
    <row r="116">
      <c r="A116" s="208" t="s">
        <v>1346</v>
      </c>
      <c r="B116" s="209" t="s">
        <v>1368</v>
      </c>
      <c r="C116" s="209" t="s">
        <v>19</v>
      </c>
      <c r="D116" s="210">
        <v>1.0</v>
      </c>
      <c r="E116" s="211" t="s">
        <v>1369</v>
      </c>
      <c r="F116" s="212">
        <v>3514.0</v>
      </c>
      <c r="G116" s="212">
        <v>2993.0</v>
      </c>
      <c r="H116" s="212">
        <v>5.0</v>
      </c>
      <c r="I116" s="212">
        <v>0.0</v>
      </c>
      <c r="J116" s="212">
        <v>0.0</v>
      </c>
      <c r="K116" s="212">
        <v>0.0</v>
      </c>
      <c r="L116" s="212">
        <v>0.0</v>
      </c>
      <c r="M116" s="212">
        <v>0.0</v>
      </c>
      <c r="N116" s="212">
        <v>0.0</v>
      </c>
      <c r="O116" s="213">
        <f t="shared" ref="O116:O119" si="31">sum(H116:N116)</f>
        <v>5</v>
      </c>
      <c r="P116" s="214">
        <f t="shared" ref="P116:P119" si="32">O116/G116*100</f>
        <v>0.1670564651</v>
      </c>
    </row>
    <row r="117">
      <c r="A117" s="208" t="s">
        <v>1349</v>
      </c>
      <c r="B117" s="209" t="s">
        <v>1370</v>
      </c>
      <c r="C117" s="209" t="s">
        <v>19</v>
      </c>
      <c r="D117" s="210">
        <v>1.0</v>
      </c>
      <c r="E117" s="211" t="s">
        <v>1371</v>
      </c>
      <c r="F117" s="212">
        <v>47782.0</v>
      </c>
      <c r="G117" s="212">
        <v>30473.0</v>
      </c>
      <c r="H117" s="212">
        <v>576.0</v>
      </c>
      <c r="I117" s="212">
        <v>0.0</v>
      </c>
      <c r="J117" s="212">
        <v>1.0</v>
      </c>
      <c r="K117" s="212">
        <v>0.0</v>
      </c>
      <c r="L117" s="212">
        <v>0.0</v>
      </c>
      <c r="M117" s="212">
        <v>0.0</v>
      </c>
      <c r="N117" s="212">
        <v>0.0</v>
      </c>
      <c r="O117" s="213">
        <f t="shared" si="31"/>
        <v>577</v>
      </c>
      <c r="P117" s="214">
        <f t="shared" si="32"/>
        <v>1.893479474</v>
      </c>
    </row>
    <row r="118">
      <c r="A118" s="208" t="s">
        <v>1340</v>
      </c>
      <c r="B118" s="209" t="s">
        <v>1370</v>
      </c>
      <c r="C118" s="209" t="s">
        <v>19</v>
      </c>
      <c r="D118" s="210">
        <v>1.0</v>
      </c>
      <c r="E118" s="211" t="s">
        <v>1372</v>
      </c>
      <c r="F118" s="212">
        <v>7442.0</v>
      </c>
      <c r="G118" s="212">
        <v>6480.0</v>
      </c>
      <c r="H118" s="212">
        <v>403.0</v>
      </c>
      <c r="I118" s="212">
        <v>1.0</v>
      </c>
      <c r="J118" s="212">
        <v>41.0</v>
      </c>
      <c r="K118" s="212">
        <v>809.0</v>
      </c>
      <c r="L118" s="212">
        <v>0.0</v>
      </c>
      <c r="M118" s="212">
        <v>0.0</v>
      </c>
      <c r="N118" s="212">
        <v>0.0</v>
      </c>
      <c r="O118" s="213">
        <f t="shared" si="31"/>
        <v>1254</v>
      </c>
      <c r="P118" s="214">
        <f t="shared" si="32"/>
        <v>19.35185185</v>
      </c>
    </row>
    <row r="119">
      <c r="A119" s="208" t="s">
        <v>1335</v>
      </c>
      <c r="B119" s="209" t="s">
        <v>1373</v>
      </c>
      <c r="C119" s="209" t="s">
        <v>19</v>
      </c>
      <c r="D119" s="210">
        <v>1.0</v>
      </c>
      <c r="E119" s="211" t="s">
        <v>1374</v>
      </c>
      <c r="F119" s="212">
        <v>4984.0</v>
      </c>
      <c r="G119" s="212">
        <v>2730.0</v>
      </c>
      <c r="H119" s="212">
        <v>1070.0</v>
      </c>
      <c r="I119" s="212">
        <v>0.0</v>
      </c>
      <c r="J119" s="212">
        <v>0.0</v>
      </c>
      <c r="K119" s="212">
        <v>200.0</v>
      </c>
      <c r="L119" s="212">
        <v>0.0</v>
      </c>
      <c r="M119" s="212">
        <v>0.0</v>
      </c>
      <c r="N119" s="212">
        <v>0.0</v>
      </c>
      <c r="O119" s="213">
        <f t="shared" si="31"/>
        <v>1270</v>
      </c>
      <c r="P119" s="214">
        <f t="shared" si="32"/>
        <v>46.52014652</v>
      </c>
    </row>
    <row r="120">
      <c r="A120" s="74"/>
      <c r="B120" s="74"/>
      <c r="C120" s="74"/>
      <c r="D120" s="74"/>
      <c r="E120" s="74"/>
      <c r="F120" s="74"/>
      <c r="G120" s="74"/>
      <c r="H120" s="74"/>
      <c r="I120" s="74"/>
      <c r="J120" s="74"/>
      <c r="K120" s="74"/>
      <c r="L120" s="74"/>
      <c r="M120" s="74"/>
      <c r="N120" s="74"/>
      <c r="O120" s="74"/>
      <c r="P120" s="74"/>
    </row>
    <row r="121">
      <c r="A121" s="206" t="s">
        <v>1375</v>
      </c>
      <c r="B121" s="207"/>
      <c r="C121" s="207"/>
      <c r="D121" s="207"/>
      <c r="E121" s="207"/>
      <c r="F121" s="207"/>
      <c r="G121" s="207"/>
      <c r="H121" s="207"/>
      <c r="I121" s="207"/>
      <c r="J121" s="207"/>
      <c r="K121" s="207"/>
      <c r="L121" s="207"/>
      <c r="M121" s="207"/>
      <c r="N121" s="207"/>
      <c r="O121" s="207"/>
      <c r="P121" s="207"/>
    </row>
    <row r="122">
      <c r="A122" s="215" t="s">
        <v>1376</v>
      </c>
      <c r="B122" s="216">
        <v>45890.0</v>
      </c>
      <c r="C122" s="209" t="s">
        <v>19</v>
      </c>
      <c r="D122" s="203">
        <v>1.0</v>
      </c>
      <c r="E122" s="204" t="s">
        <v>1377</v>
      </c>
      <c r="F122" s="205">
        <v>160871.0</v>
      </c>
      <c r="G122" s="205">
        <v>42167.0</v>
      </c>
      <c r="H122" s="205">
        <v>537.0</v>
      </c>
      <c r="I122" s="205">
        <v>5.0</v>
      </c>
      <c r="J122" s="205">
        <v>6.0</v>
      </c>
      <c r="K122" s="205">
        <v>26.0</v>
      </c>
      <c r="L122" s="205">
        <v>0.0</v>
      </c>
      <c r="M122" s="205">
        <v>0.0</v>
      </c>
      <c r="N122" s="205">
        <v>0.0</v>
      </c>
      <c r="O122" s="213">
        <f t="shared" ref="O122:O126" si="33">sum(H122:N122)</f>
        <v>574</v>
      </c>
      <c r="P122" s="214">
        <f t="shared" ref="P122:P126" si="34">O122/G122*100</f>
        <v>1.361254061</v>
      </c>
    </row>
    <row r="123">
      <c r="A123" s="215" t="s">
        <v>1378</v>
      </c>
      <c r="B123" s="74"/>
      <c r="C123" s="209" t="s">
        <v>19</v>
      </c>
      <c r="D123" s="203">
        <v>1.0</v>
      </c>
      <c r="E123" s="204" t="s">
        <v>1379</v>
      </c>
      <c r="F123" s="205">
        <v>1606.0</v>
      </c>
      <c r="G123" s="205">
        <v>1358.0</v>
      </c>
      <c r="H123" s="205">
        <v>7.0</v>
      </c>
      <c r="I123" s="205">
        <v>0.0</v>
      </c>
      <c r="J123" s="205">
        <v>0.0</v>
      </c>
      <c r="K123" s="205">
        <v>1.0</v>
      </c>
      <c r="L123" s="205">
        <v>0.0</v>
      </c>
      <c r="M123" s="205">
        <v>0.0</v>
      </c>
      <c r="N123" s="205">
        <v>0.0</v>
      </c>
      <c r="O123" s="213">
        <f t="shared" si="33"/>
        <v>8</v>
      </c>
      <c r="P123" s="214">
        <f t="shared" si="34"/>
        <v>0.58910162</v>
      </c>
    </row>
    <row r="124">
      <c r="A124" s="215" t="s">
        <v>1380</v>
      </c>
      <c r="B124" s="74"/>
      <c r="C124" s="209" t="s">
        <v>19</v>
      </c>
      <c r="D124" s="203">
        <v>1.0</v>
      </c>
      <c r="E124" s="204" t="s">
        <v>1381</v>
      </c>
      <c r="F124" s="205">
        <v>4884.0</v>
      </c>
      <c r="G124" s="205">
        <v>4082.0</v>
      </c>
      <c r="H124" s="205">
        <v>74.0</v>
      </c>
      <c r="I124" s="205">
        <v>1.0</v>
      </c>
      <c r="J124" s="205">
        <v>38.0</v>
      </c>
      <c r="K124" s="205">
        <v>5.0</v>
      </c>
      <c r="L124" s="205">
        <v>0.0</v>
      </c>
      <c r="M124" s="205">
        <v>0.0</v>
      </c>
      <c r="N124" s="205">
        <v>0.0</v>
      </c>
      <c r="O124" s="213">
        <f t="shared" si="33"/>
        <v>118</v>
      </c>
      <c r="P124" s="214">
        <f t="shared" si="34"/>
        <v>2.890739833</v>
      </c>
    </row>
    <row r="125">
      <c r="A125" s="215" t="s">
        <v>1382</v>
      </c>
      <c r="B125" s="74"/>
      <c r="C125" s="209" t="s">
        <v>19</v>
      </c>
      <c r="D125" s="203">
        <v>1.0</v>
      </c>
      <c r="E125" s="204" t="s">
        <v>1383</v>
      </c>
      <c r="F125" s="205">
        <v>4139.0</v>
      </c>
      <c r="G125" s="205">
        <v>3423.0</v>
      </c>
      <c r="H125" s="205">
        <v>12.0</v>
      </c>
      <c r="I125" s="205">
        <v>0.0</v>
      </c>
      <c r="J125" s="205">
        <v>1.0</v>
      </c>
      <c r="K125" s="205">
        <v>1.0</v>
      </c>
      <c r="L125" s="205">
        <v>0.0</v>
      </c>
      <c r="M125" s="205">
        <v>0.0</v>
      </c>
      <c r="N125" s="205">
        <v>0.0</v>
      </c>
      <c r="O125" s="213">
        <f t="shared" si="33"/>
        <v>14</v>
      </c>
      <c r="P125" s="214">
        <f t="shared" si="34"/>
        <v>0.408997955</v>
      </c>
    </row>
    <row r="126">
      <c r="A126" s="215" t="s">
        <v>1384</v>
      </c>
      <c r="B126" s="74"/>
      <c r="C126" s="209" t="s">
        <v>19</v>
      </c>
      <c r="D126" s="203">
        <v>1.0</v>
      </c>
      <c r="E126" s="204" t="s">
        <v>1385</v>
      </c>
      <c r="F126" s="205">
        <v>61256.0</v>
      </c>
      <c r="G126" s="205">
        <v>36312.0</v>
      </c>
      <c r="H126" s="205">
        <v>491.0</v>
      </c>
      <c r="I126" s="205">
        <v>0.0</v>
      </c>
      <c r="J126" s="205">
        <v>5.0</v>
      </c>
      <c r="K126" s="205">
        <v>0.0</v>
      </c>
      <c r="L126" s="205">
        <v>0.0</v>
      </c>
      <c r="M126" s="205">
        <v>0.0</v>
      </c>
      <c r="N126" s="205">
        <v>0.0</v>
      </c>
      <c r="O126" s="213">
        <f t="shared" si="33"/>
        <v>496</v>
      </c>
      <c r="P126" s="214">
        <f t="shared" si="34"/>
        <v>1.365939634</v>
      </c>
    </row>
    <row r="127">
      <c r="A127" s="74"/>
      <c r="B127" s="74"/>
      <c r="C127" s="74"/>
      <c r="D127" s="74"/>
      <c r="E127" s="74"/>
      <c r="F127" s="74"/>
      <c r="G127" s="74"/>
      <c r="H127" s="74"/>
      <c r="I127" s="74"/>
      <c r="J127" s="74"/>
      <c r="K127" s="74"/>
      <c r="L127" s="74"/>
      <c r="M127" s="74"/>
      <c r="N127" s="74"/>
      <c r="O127" s="74"/>
      <c r="P127" s="74"/>
    </row>
    <row r="128">
      <c r="A128" s="126" t="s">
        <v>1386</v>
      </c>
      <c r="B128" s="127"/>
      <c r="C128" s="128"/>
      <c r="D128" s="128"/>
      <c r="E128" s="128"/>
      <c r="F128" s="129"/>
      <c r="G128" s="129"/>
      <c r="H128" s="129"/>
      <c r="I128" s="129"/>
      <c r="J128" s="129"/>
      <c r="K128" s="129"/>
      <c r="L128" s="129"/>
      <c r="M128" s="129"/>
      <c r="N128" s="129"/>
      <c r="O128" s="129"/>
      <c r="P128" s="130"/>
    </row>
    <row r="129">
      <c r="A129" s="198" t="s">
        <v>1387</v>
      </c>
      <c r="B129" s="133" t="s">
        <v>1336</v>
      </c>
      <c r="C129" s="138" t="s">
        <v>245</v>
      </c>
      <c r="D129" s="139">
        <v>1.0</v>
      </c>
      <c r="E129" s="146" t="s">
        <v>1388</v>
      </c>
      <c r="F129" s="135">
        <v>247310.0</v>
      </c>
      <c r="G129" s="135">
        <v>196284.0</v>
      </c>
      <c r="H129" s="135">
        <v>0.0</v>
      </c>
      <c r="I129" s="135">
        <v>0.0</v>
      </c>
      <c r="J129" s="135">
        <v>0.0</v>
      </c>
      <c r="K129" s="135">
        <v>0.0</v>
      </c>
      <c r="L129" s="135">
        <v>1.0</v>
      </c>
      <c r="M129" s="135">
        <v>0.0</v>
      </c>
      <c r="N129" s="135">
        <v>83.0</v>
      </c>
      <c r="O129" s="135">
        <f t="shared" ref="O129:O140" si="35">sum(H129:N129)</f>
        <v>84</v>
      </c>
      <c r="P129" s="199">
        <f t="shared" ref="P129:P140" si="36">O129/G129*100</f>
        <v>0.04279513358</v>
      </c>
    </row>
    <row r="130">
      <c r="A130" s="198" t="s">
        <v>1389</v>
      </c>
      <c r="B130" s="133" t="s">
        <v>1336</v>
      </c>
      <c r="C130" s="138" t="s">
        <v>1327</v>
      </c>
      <c r="D130" s="139">
        <v>1.0</v>
      </c>
      <c r="E130" s="146" t="s">
        <v>1390</v>
      </c>
      <c r="F130" s="135">
        <v>50686.0</v>
      </c>
      <c r="G130" s="135">
        <v>30516.0</v>
      </c>
      <c r="H130" s="135">
        <v>271.0</v>
      </c>
      <c r="I130" s="135">
        <v>35.0</v>
      </c>
      <c r="J130" s="135">
        <v>15.0</v>
      </c>
      <c r="K130" s="135">
        <v>7.0</v>
      </c>
      <c r="L130" s="135">
        <v>202.0</v>
      </c>
      <c r="M130" s="135">
        <v>0.0</v>
      </c>
      <c r="N130" s="135">
        <v>628.0</v>
      </c>
      <c r="O130" s="135">
        <f t="shared" si="35"/>
        <v>1158</v>
      </c>
      <c r="P130" s="199">
        <f t="shared" si="36"/>
        <v>3.794730633</v>
      </c>
    </row>
    <row r="131">
      <c r="A131" s="198" t="s">
        <v>1389</v>
      </c>
      <c r="B131" s="133" t="s">
        <v>1336</v>
      </c>
      <c r="C131" s="138" t="s">
        <v>1391</v>
      </c>
      <c r="D131" s="139">
        <v>1.0</v>
      </c>
      <c r="E131" s="146" t="s">
        <v>1392</v>
      </c>
      <c r="F131" s="135">
        <v>435.0</v>
      </c>
      <c r="G131" s="135">
        <v>406.0</v>
      </c>
      <c r="H131" s="135">
        <v>4.0</v>
      </c>
      <c r="I131" s="135">
        <v>0.0</v>
      </c>
      <c r="J131" s="135">
        <v>0.0</v>
      </c>
      <c r="K131" s="135">
        <v>0.0</v>
      </c>
      <c r="L131" s="135">
        <v>7.0</v>
      </c>
      <c r="M131" s="135">
        <v>2.0</v>
      </c>
      <c r="N131" s="135">
        <v>20.0</v>
      </c>
      <c r="O131" s="135">
        <f t="shared" si="35"/>
        <v>33</v>
      </c>
      <c r="P131" s="199">
        <f t="shared" si="36"/>
        <v>8.128078818</v>
      </c>
    </row>
    <row r="132">
      <c r="A132" s="200" t="s">
        <v>1389</v>
      </c>
      <c r="B132" s="133" t="s">
        <v>1338</v>
      </c>
      <c r="C132" s="138" t="s">
        <v>245</v>
      </c>
      <c r="D132" s="139">
        <v>1.0</v>
      </c>
      <c r="E132" s="140" t="s">
        <v>1393</v>
      </c>
      <c r="F132" s="135">
        <v>337.0</v>
      </c>
      <c r="G132" s="135">
        <v>316.0</v>
      </c>
      <c r="H132" s="135">
        <v>3.0</v>
      </c>
      <c r="I132" s="135">
        <v>0.0</v>
      </c>
      <c r="J132" s="135">
        <v>0.0</v>
      </c>
      <c r="K132" s="135">
        <v>1.0</v>
      </c>
      <c r="L132" s="135">
        <v>3.0</v>
      </c>
      <c r="M132" s="135">
        <v>2.0</v>
      </c>
      <c r="N132" s="135">
        <v>19.0</v>
      </c>
      <c r="O132" s="135">
        <f t="shared" si="35"/>
        <v>28</v>
      </c>
      <c r="P132" s="199">
        <f t="shared" si="36"/>
        <v>8.860759494</v>
      </c>
    </row>
    <row r="133">
      <c r="A133" s="198" t="s">
        <v>1394</v>
      </c>
      <c r="B133" s="133" t="s">
        <v>1336</v>
      </c>
      <c r="C133" s="138" t="s">
        <v>1327</v>
      </c>
      <c r="D133" s="139">
        <v>1.0</v>
      </c>
      <c r="E133" s="146" t="s">
        <v>1395</v>
      </c>
      <c r="F133" s="135">
        <v>79441.0</v>
      </c>
      <c r="G133" s="135">
        <v>37596.0</v>
      </c>
      <c r="H133" s="135">
        <v>255.0</v>
      </c>
      <c r="I133" s="135">
        <v>2.0</v>
      </c>
      <c r="J133" s="135">
        <v>30.0</v>
      </c>
      <c r="K133" s="135">
        <v>27.0</v>
      </c>
      <c r="L133" s="135">
        <v>46.0</v>
      </c>
      <c r="M133" s="135">
        <v>0.0</v>
      </c>
      <c r="N133" s="135">
        <v>314.0</v>
      </c>
      <c r="O133" s="135">
        <f t="shared" si="35"/>
        <v>674</v>
      </c>
      <c r="P133" s="199">
        <f t="shared" si="36"/>
        <v>1.792743909</v>
      </c>
    </row>
    <row r="134">
      <c r="A134" s="198" t="s">
        <v>1396</v>
      </c>
      <c r="B134" s="133" t="s">
        <v>1336</v>
      </c>
      <c r="C134" s="138" t="s">
        <v>1327</v>
      </c>
      <c r="D134" s="139">
        <v>1.0</v>
      </c>
      <c r="E134" s="146" t="s">
        <v>1397</v>
      </c>
      <c r="F134" s="135">
        <v>9247.0</v>
      </c>
      <c r="G134" s="135">
        <v>3847.0</v>
      </c>
      <c r="H134" s="135">
        <v>88.0</v>
      </c>
      <c r="I134" s="135">
        <v>20.0</v>
      </c>
      <c r="J134" s="135">
        <v>8.0</v>
      </c>
      <c r="K134" s="135">
        <v>4.0</v>
      </c>
      <c r="L134" s="135">
        <v>95.0</v>
      </c>
      <c r="M134" s="135">
        <v>0.0</v>
      </c>
      <c r="N134" s="135">
        <v>65.0</v>
      </c>
      <c r="O134" s="135">
        <f t="shared" si="35"/>
        <v>280</v>
      </c>
      <c r="P134" s="199">
        <f t="shared" si="36"/>
        <v>7.278398752</v>
      </c>
    </row>
    <row r="135">
      <c r="A135" s="200" t="s">
        <v>1396</v>
      </c>
      <c r="B135" s="133" t="s">
        <v>1338</v>
      </c>
      <c r="C135" s="138" t="s">
        <v>245</v>
      </c>
      <c r="D135" s="139">
        <v>1.0</v>
      </c>
      <c r="E135" s="140" t="s">
        <v>1398</v>
      </c>
      <c r="F135" s="135">
        <v>47.0</v>
      </c>
      <c r="G135" s="135">
        <v>43.0</v>
      </c>
      <c r="H135" s="135">
        <v>0.0</v>
      </c>
      <c r="I135" s="135">
        <v>0.0</v>
      </c>
      <c r="J135" s="135">
        <v>0.0</v>
      </c>
      <c r="K135" s="135">
        <v>0.0</v>
      </c>
      <c r="L135" s="135">
        <v>0.0</v>
      </c>
      <c r="M135" s="135">
        <v>1.0</v>
      </c>
      <c r="N135" s="135">
        <v>0.0</v>
      </c>
      <c r="O135" s="135">
        <f t="shared" si="35"/>
        <v>1</v>
      </c>
      <c r="P135" s="199">
        <f t="shared" si="36"/>
        <v>2.325581395</v>
      </c>
    </row>
    <row r="136">
      <c r="A136" s="198" t="s">
        <v>1399</v>
      </c>
      <c r="B136" s="133" t="s">
        <v>1336</v>
      </c>
      <c r="C136" s="138" t="s">
        <v>1327</v>
      </c>
      <c r="D136" s="139">
        <v>1.0</v>
      </c>
      <c r="E136" s="146" t="s">
        <v>1400</v>
      </c>
      <c r="F136" s="135">
        <v>39245.0</v>
      </c>
      <c r="G136" s="135">
        <v>30612.0</v>
      </c>
      <c r="H136" s="135">
        <v>2070.0</v>
      </c>
      <c r="I136" s="135">
        <v>25.0</v>
      </c>
      <c r="J136" s="135">
        <v>454.0</v>
      </c>
      <c r="K136" s="135">
        <v>980.0</v>
      </c>
      <c r="L136" s="135">
        <v>0.0</v>
      </c>
      <c r="M136" s="135">
        <v>0.0</v>
      </c>
      <c r="N136" s="135">
        <v>207.0</v>
      </c>
      <c r="O136" s="135">
        <f t="shared" si="35"/>
        <v>3736</v>
      </c>
      <c r="P136" s="199">
        <f t="shared" si="36"/>
        <v>12.2043643</v>
      </c>
    </row>
    <row r="137">
      <c r="A137" s="198" t="s">
        <v>1401</v>
      </c>
      <c r="B137" s="133" t="s">
        <v>1402</v>
      </c>
      <c r="C137" s="138" t="s">
        <v>1327</v>
      </c>
      <c r="D137" s="139">
        <v>1.0</v>
      </c>
      <c r="E137" s="146" t="s">
        <v>1403</v>
      </c>
      <c r="F137" s="135">
        <v>29213.0</v>
      </c>
      <c r="G137" s="135">
        <v>15301.0</v>
      </c>
      <c r="H137" s="135">
        <v>245.0</v>
      </c>
      <c r="I137" s="135">
        <v>12.0</v>
      </c>
      <c r="J137" s="135">
        <v>76.0</v>
      </c>
      <c r="K137" s="135">
        <v>43.0</v>
      </c>
      <c r="L137" s="135">
        <v>624.0</v>
      </c>
      <c r="M137" s="135">
        <v>0.0</v>
      </c>
      <c r="N137" s="135">
        <v>800.0</v>
      </c>
      <c r="O137" s="135">
        <f t="shared" si="35"/>
        <v>1800</v>
      </c>
      <c r="P137" s="199">
        <f t="shared" si="36"/>
        <v>11.763937</v>
      </c>
    </row>
    <row r="138">
      <c r="A138" s="200" t="s">
        <v>1401</v>
      </c>
      <c r="B138" s="133" t="s">
        <v>1338</v>
      </c>
      <c r="C138" s="138" t="s">
        <v>245</v>
      </c>
      <c r="D138" s="139">
        <v>1.0</v>
      </c>
      <c r="E138" s="140" t="s">
        <v>1404</v>
      </c>
      <c r="F138" s="175">
        <v>275.0</v>
      </c>
      <c r="G138" s="175">
        <v>257.0</v>
      </c>
      <c r="H138" s="176">
        <v>2.0</v>
      </c>
      <c r="I138" s="176">
        <v>0.0</v>
      </c>
      <c r="J138" s="176">
        <v>0.0</v>
      </c>
      <c r="K138" s="176">
        <v>0.0</v>
      </c>
      <c r="L138" s="176">
        <v>1.0</v>
      </c>
      <c r="M138" s="176">
        <v>0.0</v>
      </c>
      <c r="N138" s="176">
        <v>20.0</v>
      </c>
      <c r="O138" s="135">
        <f t="shared" si="35"/>
        <v>23</v>
      </c>
      <c r="P138" s="199">
        <f t="shared" si="36"/>
        <v>8.949416342</v>
      </c>
    </row>
    <row r="139">
      <c r="A139" s="217" t="s">
        <v>1405</v>
      </c>
      <c r="B139" s="133" t="s">
        <v>1336</v>
      </c>
      <c r="C139" s="138" t="s">
        <v>1406</v>
      </c>
      <c r="D139" s="139">
        <v>1.0</v>
      </c>
      <c r="E139" s="146" t="s">
        <v>1407</v>
      </c>
      <c r="F139" s="135">
        <v>85133.0</v>
      </c>
      <c r="G139" s="135">
        <v>39769.0</v>
      </c>
      <c r="H139" s="135">
        <v>3271.0</v>
      </c>
      <c r="I139" s="135">
        <v>53.0</v>
      </c>
      <c r="J139" s="135">
        <v>33.0</v>
      </c>
      <c r="K139" s="135">
        <v>4.0</v>
      </c>
      <c r="L139" s="135">
        <v>5.0</v>
      </c>
      <c r="M139" s="135">
        <v>0.0</v>
      </c>
      <c r="N139" s="135">
        <v>915.0</v>
      </c>
      <c r="O139" s="135">
        <f t="shared" si="35"/>
        <v>4281</v>
      </c>
      <c r="P139" s="199">
        <f t="shared" si="36"/>
        <v>10.76466595</v>
      </c>
    </row>
    <row r="140">
      <c r="A140" s="19"/>
      <c r="B140" s="133" t="s">
        <v>1336</v>
      </c>
      <c r="C140" s="138" t="s">
        <v>14</v>
      </c>
      <c r="D140" s="139">
        <v>1.0</v>
      </c>
      <c r="E140" s="146" t="s">
        <v>1408</v>
      </c>
      <c r="F140" s="135">
        <v>374.0</v>
      </c>
      <c r="G140" s="135">
        <v>261.0</v>
      </c>
      <c r="H140" s="135">
        <v>67.0</v>
      </c>
      <c r="I140" s="135">
        <v>58.0</v>
      </c>
      <c r="J140" s="135">
        <v>16.0</v>
      </c>
      <c r="K140" s="135">
        <v>8.0</v>
      </c>
      <c r="L140" s="135">
        <v>0.0</v>
      </c>
      <c r="M140" s="135">
        <v>0.0</v>
      </c>
      <c r="N140" s="135">
        <v>0.0</v>
      </c>
      <c r="O140" s="135">
        <f t="shared" si="35"/>
        <v>149</v>
      </c>
      <c r="P140" s="199">
        <f t="shared" si="36"/>
        <v>57.08812261</v>
      </c>
    </row>
    <row r="141">
      <c r="A141" s="206" t="s">
        <v>1409</v>
      </c>
      <c r="B141" s="207"/>
      <c r="C141" s="207"/>
      <c r="D141" s="207"/>
      <c r="E141" s="207"/>
      <c r="F141" s="207"/>
      <c r="G141" s="207"/>
      <c r="H141" s="207"/>
      <c r="I141" s="207"/>
      <c r="J141" s="207"/>
      <c r="K141" s="207"/>
      <c r="L141" s="207"/>
      <c r="M141" s="207"/>
      <c r="N141" s="207"/>
      <c r="O141" s="207"/>
      <c r="P141" s="207"/>
    </row>
    <row r="142">
      <c r="A142" s="198" t="s">
        <v>1401</v>
      </c>
      <c r="B142" s="74" t="s">
        <v>1410</v>
      </c>
      <c r="C142" s="74" t="s">
        <v>19</v>
      </c>
      <c r="D142" s="203">
        <v>1.0</v>
      </c>
      <c r="E142" s="204" t="s">
        <v>1411</v>
      </c>
      <c r="F142" s="205">
        <v>4157.0</v>
      </c>
      <c r="G142" s="205">
        <v>2060.0</v>
      </c>
      <c r="H142" s="205">
        <v>379.0</v>
      </c>
      <c r="I142" s="205">
        <v>4.0</v>
      </c>
      <c r="J142" s="205">
        <v>3.0</v>
      </c>
      <c r="K142" s="205">
        <v>6.0</v>
      </c>
      <c r="L142" s="205">
        <v>0.0</v>
      </c>
      <c r="M142" s="205">
        <v>0.0</v>
      </c>
      <c r="N142" s="135">
        <v>0.0</v>
      </c>
      <c r="O142" s="135">
        <f>sum(H142:N142)</f>
        <v>392</v>
      </c>
      <c r="P142" s="199">
        <f>O142/G142*100</f>
        <v>19.02912621</v>
      </c>
    </row>
    <row r="143">
      <c r="A143" s="74"/>
      <c r="B143" s="74"/>
      <c r="C143" s="74"/>
      <c r="D143" s="74"/>
      <c r="E143" s="74"/>
      <c r="F143" s="74"/>
      <c r="G143" s="74"/>
      <c r="H143" s="74"/>
      <c r="I143" s="74"/>
      <c r="J143" s="74"/>
      <c r="K143" s="74"/>
      <c r="L143" s="74"/>
      <c r="M143" s="74"/>
      <c r="N143" s="74"/>
      <c r="O143" s="74"/>
      <c r="P143" s="74"/>
    </row>
    <row r="144">
      <c r="A144" s="206" t="s">
        <v>1412</v>
      </c>
      <c r="B144" s="207"/>
      <c r="C144" s="207"/>
      <c r="D144" s="207"/>
      <c r="E144" s="207"/>
      <c r="F144" s="207"/>
      <c r="G144" s="207"/>
      <c r="H144" s="207"/>
      <c r="I144" s="207"/>
      <c r="J144" s="207"/>
      <c r="K144" s="207"/>
      <c r="L144" s="207"/>
      <c r="M144" s="207"/>
      <c r="N144" s="207"/>
      <c r="O144" s="207"/>
      <c r="P144" s="207"/>
    </row>
    <row r="145">
      <c r="A145" s="215" t="s">
        <v>1413</v>
      </c>
      <c r="B145" s="74"/>
      <c r="C145" s="74" t="s">
        <v>19</v>
      </c>
      <c r="D145" s="203">
        <v>1.0</v>
      </c>
      <c r="E145" s="204" t="s">
        <v>1414</v>
      </c>
      <c r="F145" s="205">
        <v>1780.0</v>
      </c>
      <c r="G145" s="205">
        <v>1074.0</v>
      </c>
      <c r="H145" s="205">
        <v>328.0</v>
      </c>
      <c r="I145" s="205">
        <v>9.0</v>
      </c>
      <c r="J145" s="205">
        <v>2.0</v>
      </c>
      <c r="K145" s="205">
        <v>17.0</v>
      </c>
      <c r="L145" s="205">
        <v>0.0</v>
      </c>
      <c r="M145" s="205">
        <v>0.0</v>
      </c>
      <c r="N145" s="205">
        <v>0.0</v>
      </c>
      <c r="O145" s="135">
        <f t="shared" ref="O145:O147" si="37">sum(H145:N145)</f>
        <v>356</v>
      </c>
      <c r="P145" s="199">
        <f t="shared" ref="P145:P147" si="38">O145/G145*100</f>
        <v>33.14711359</v>
      </c>
    </row>
    <row r="146">
      <c r="A146" s="215" t="s">
        <v>1415</v>
      </c>
      <c r="B146" s="74"/>
      <c r="C146" s="74" t="s">
        <v>19</v>
      </c>
      <c r="D146" s="203">
        <v>1.0</v>
      </c>
      <c r="E146" s="204" t="s">
        <v>1416</v>
      </c>
      <c r="F146" s="205">
        <v>677.0</v>
      </c>
      <c r="G146" s="205">
        <v>316.0</v>
      </c>
      <c r="H146" s="205">
        <v>313.0</v>
      </c>
      <c r="I146" s="205">
        <v>1.0</v>
      </c>
      <c r="J146" s="205">
        <v>0.0</v>
      </c>
      <c r="K146" s="205">
        <v>0.0</v>
      </c>
      <c r="L146" s="205">
        <v>0.0</v>
      </c>
      <c r="M146" s="205">
        <v>0.0</v>
      </c>
      <c r="N146" s="205">
        <v>0.0</v>
      </c>
      <c r="O146" s="135">
        <f t="shared" si="37"/>
        <v>314</v>
      </c>
      <c r="P146" s="199">
        <f t="shared" si="38"/>
        <v>99.36708861</v>
      </c>
    </row>
    <row r="147">
      <c r="A147" s="215" t="s">
        <v>1399</v>
      </c>
      <c r="B147" s="74"/>
      <c r="C147" s="74" t="s">
        <v>19</v>
      </c>
      <c r="D147" s="203">
        <v>1.0</v>
      </c>
      <c r="E147" s="204" t="s">
        <v>1417</v>
      </c>
      <c r="F147" s="205">
        <v>17622.0</v>
      </c>
      <c r="G147" s="205">
        <v>8989.0</v>
      </c>
      <c r="H147" s="205">
        <v>800.0</v>
      </c>
      <c r="I147" s="205">
        <v>48.0</v>
      </c>
      <c r="J147" s="205">
        <v>25.0</v>
      </c>
      <c r="K147" s="205">
        <v>468.0</v>
      </c>
      <c r="L147" s="205">
        <v>0.0</v>
      </c>
      <c r="M147" s="205">
        <v>0.0</v>
      </c>
      <c r="N147" s="205">
        <v>0.0</v>
      </c>
      <c r="O147" s="135">
        <f t="shared" si="37"/>
        <v>1341</v>
      </c>
      <c r="P147" s="199">
        <f t="shared" si="38"/>
        <v>14.9182334</v>
      </c>
    </row>
    <row r="148">
      <c r="A148" s="74"/>
      <c r="B148" s="74"/>
      <c r="C148" s="74"/>
      <c r="D148" s="74"/>
      <c r="E148" s="74"/>
      <c r="F148" s="74"/>
      <c r="G148" s="74"/>
      <c r="H148" s="74"/>
      <c r="I148" s="74"/>
      <c r="J148" s="74"/>
      <c r="K148" s="74"/>
      <c r="L148" s="74"/>
      <c r="M148" s="74"/>
      <c r="N148" s="74"/>
      <c r="O148" s="74"/>
      <c r="P148" s="74"/>
    </row>
    <row r="149">
      <c r="A149" s="126" t="s">
        <v>1418</v>
      </c>
      <c r="B149" s="127"/>
      <c r="C149" s="128"/>
      <c r="D149" s="128"/>
      <c r="E149" s="128"/>
      <c r="F149" s="129"/>
      <c r="G149" s="129"/>
      <c r="H149" s="129"/>
      <c r="I149" s="129"/>
      <c r="J149" s="129"/>
      <c r="K149" s="129"/>
      <c r="L149" s="129"/>
      <c r="M149" s="129"/>
      <c r="N149" s="129"/>
      <c r="O149" s="129"/>
      <c r="P149" s="130"/>
    </row>
    <row r="150">
      <c r="A150" s="217" t="s">
        <v>1419</v>
      </c>
      <c r="B150" s="209" t="s">
        <v>1336</v>
      </c>
      <c r="C150" s="218" t="s">
        <v>245</v>
      </c>
      <c r="D150" s="210">
        <v>1.0</v>
      </c>
      <c r="E150" s="211" t="s">
        <v>1420</v>
      </c>
      <c r="F150" s="213">
        <v>441.0</v>
      </c>
      <c r="G150" s="213">
        <v>375.0</v>
      </c>
      <c r="H150" s="213">
        <v>7.0</v>
      </c>
      <c r="I150" s="213">
        <v>0.0</v>
      </c>
      <c r="J150" s="213">
        <v>0.0</v>
      </c>
      <c r="K150" s="213">
        <v>0.0</v>
      </c>
      <c r="L150" s="213">
        <v>0.0</v>
      </c>
      <c r="M150" s="213">
        <v>0.0</v>
      </c>
      <c r="N150" s="213">
        <v>16.0</v>
      </c>
      <c r="O150" s="135">
        <f t="shared" ref="O150:O154" si="39">sum(H150:N150)</f>
        <v>23</v>
      </c>
      <c r="P150" s="136">
        <f t="shared" ref="P150:P154" si="40">O150/G150*100</f>
        <v>6.133333333</v>
      </c>
    </row>
    <row r="151">
      <c r="A151" s="217" t="s">
        <v>1401</v>
      </c>
      <c r="B151" s="209" t="s">
        <v>1336</v>
      </c>
      <c r="C151" s="218" t="s">
        <v>245</v>
      </c>
      <c r="D151" s="210">
        <v>1.0</v>
      </c>
      <c r="E151" s="211" t="s">
        <v>1421</v>
      </c>
      <c r="F151" s="213">
        <v>906.0</v>
      </c>
      <c r="G151" s="213">
        <v>302.0</v>
      </c>
      <c r="H151" s="213">
        <v>0.0</v>
      </c>
      <c r="I151" s="213">
        <v>0.0</v>
      </c>
      <c r="J151" s="213">
        <v>0.0</v>
      </c>
      <c r="K151" s="213">
        <v>0.0</v>
      </c>
      <c r="L151" s="213">
        <v>0.0</v>
      </c>
      <c r="M151" s="213">
        <v>0.0</v>
      </c>
      <c r="N151" s="213">
        <v>4.0</v>
      </c>
      <c r="O151" s="135">
        <f t="shared" si="39"/>
        <v>4</v>
      </c>
      <c r="P151" s="136">
        <f t="shared" si="40"/>
        <v>1.324503311</v>
      </c>
    </row>
    <row r="152">
      <c r="A152" s="217" t="s">
        <v>1422</v>
      </c>
      <c r="B152" s="209" t="s">
        <v>1336</v>
      </c>
      <c r="C152" s="218" t="s">
        <v>245</v>
      </c>
      <c r="D152" s="210">
        <v>2.0</v>
      </c>
      <c r="E152" s="211" t="s">
        <v>1423</v>
      </c>
      <c r="F152" s="213">
        <v>156.0</v>
      </c>
      <c r="G152" s="213">
        <v>144.0</v>
      </c>
      <c r="H152" s="213">
        <v>1.0</v>
      </c>
      <c r="I152" s="213">
        <v>0.0</v>
      </c>
      <c r="J152" s="213">
        <v>0.0</v>
      </c>
      <c r="K152" s="213">
        <v>0.0</v>
      </c>
      <c r="L152" s="213">
        <v>4.0</v>
      </c>
      <c r="M152" s="213">
        <v>0.0</v>
      </c>
      <c r="N152" s="213">
        <v>52.0</v>
      </c>
      <c r="O152" s="135">
        <f t="shared" si="39"/>
        <v>57</v>
      </c>
      <c r="P152" s="136">
        <f t="shared" si="40"/>
        <v>39.58333333</v>
      </c>
    </row>
    <row r="153">
      <c r="A153" s="217" t="s">
        <v>1389</v>
      </c>
      <c r="B153" s="209" t="s">
        <v>1336</v>
      </c>
      <c r="C153" s="218" t="s">
        <v>245</v>
      </c>
      <c r="D153" s="210">
        <v>2.0</v>
      </c>
      <c r="E153" s="211" t="s">
        <v>1424</v>
      </c>
      <c r="F153" s="213">
        <v>951.0</v>
      </c>
      <c r="G153" s="213">
        <v>905.0</v>
      </c>
      <c r="H153" s="213">
        <v>10.0</v>
      </c>
      <c r="I153" s="213">
        <v>0.0</v>
      </c>
      <c r="J153" s="213">
        <v>0.0</v>
      </c>
      <c r="K153" s="213">
        <v>0.0</v>
      </c>
      <c r="L153" s="213">
        <v>9.0</v>
      </c>
      <c r="M153" s="213">
        <v>2.0</v>
      </c>
      <c r="N153" s="213">
        <v>28.0</v>
      </c>
      <c r="O153" s="135">
        <f t="shared" si="39"/>
        <v>49</v>
      </c>
      <c r="P153" s="136">
        <f t="shared" si="40"/>
        <v>5.414364641</v>
      </c>
    </row>
    <row r="154">
      <c r="A154" s="217" t="s">
        <v>1425</v>
      </c>
      <c r="B154" s="209" t="s">
        <v>1336</v>
      </c>
      <c r="C154" s="218" t="s">
        <v>245</v>
      </c>
      <c r="D154" s="210">
        <v>2.0</v>
      </c>
      <c r="E154" s="146" t="s">
        <v>1426</v>
      </c>
      <c r="F154" s="213">
        <v>844.0</v>
      </c>
      <c r="G154" s="213">
        <v>781.0</v>
      </c>
      <c r="H154" s="213">
        <v>6.0</v>
      </c>
      <c r="I154" s="213">
        <v>0.0</v>
      </c>
      <c r="J154" s="213">
        <v>0.0</v>
      </c>
      <c r="K154" s="213">
        <v>0.0</v>
      </c>
      <c r="L154" s="213">
        <v>7.0</v>
      </c>
      <c r="M154" s="213">
        <v>0.0</v>
      </c>
      <c r="N154" s="213">
        <v>5.0</v>
      </c>
      <c r="O154" s="135">
        <f t="shared" si="39"/>
        <v>18</v>
      </c>
      <c r="P154" s="136">
        <f t="shared" si="40"/>
        <v>2.304737516</v>
      </c>
    </row>
    <row r="155">
      <c r="A155" s="131"/>
      <c r="B155" s="132"/>
      <c r="C155" s="133"/>
      <c r="D155" s="133"/>
      <c r="E155" s="133"/>
      <c r="F155" s="134"/>
      <c r="G155" s="134"/>
      <c r="H155" s="134"/>
      <c r="I155" s="134"/>
      <c r="J155" s="134"/>
      <c r="K155" s="134"/>
      <c r="L155" s="134"/>
      <c r="M155" s="134"/>
      <c r="N155" s="134"/>
      <c r="O155" s="134"/>
      <c r="P155" s="137"/>
    </row>
    <row r="156">
      <c r="A156" s="126" t="s">
        <v>1427</v>
      </c>
      <c r="B156" s="127"/>
      <c r="C156" s="128"/>
      <c r="D156" s="128"/>
      <c r="E156" s="128"/>
      <c r="F156" s="129"/>
      <c r="G156" s="129"/>
      <c r="H156" s="129"/>
      <c r="I156" s="129"/>
      <c r="J156" s="129"/>
      <c r="K156" s="129"/>
      <c r="L156" s="129"/>
      <c r="M156" s="129"/>
      <c r="N156" s="129"/>
      <c r="O156" s="129"/>
      <c r="P156" s="130"/>
    </row>
    <row r="157">
      <c r="A157" s="201" t="s">
        <v>1428</v>
      </c>
      <c r="B157" s="133" t="s">
        <v>1429</v>
      </c>
      <c r="C157" s="138" t="s">
        <v>19</v>
      </c>
      <c r="D157" s="139">
        <v>1.0</v>
      </c>
      <c r="E157" s="146" t="s">
        <v>1430</v>
      </c>
      <c r="F157" s="175">
        <v>1527.0</v>
      </c>
      <c r="G157" s="175">
        <v>1071.0</v>
      </c>
      <c r="H157" s="176">
        <v>359.0</v>
      </c>
      <c r="I157" s="176">
        <v>0.0</v>
      </c>
      <c r="J157" s="176">
        <v>0.0</v>
      </c>
      <c r="K157" s="176">
        <v>2.0</v>
      </c>
      <c r="L157" s="176">
        <v>0.0</v>
      </c>
      <c r="M157" s="176">
        <v>0.0</v>
      </c>
      <c r="N157" s="176">
        <v>0.0</v>
      </c>
      <c r="O157" s="135">
        <f t="shared" ref="O157:O170" si="41">sum(H157:N157)</f>
        <v>361</v>
      </c>
      <c r="P157" s="136">
        <f t="shared" ref="P157:P170" si="42">O157/G157*100</f>
        <v>33.70681606</v>
      </c>
    </row>
    <row r="158">
      <c r="B158" s="133"/>
      <c r="C158" s="138" t="s">
        <v>663</v>
      </c>
      <c r="D158" s="139">
        <v>1.0</v>
      </c>
      <c r="E158" s="133"/>
      <c r="F158" s="175">
        <v>50.0</v>
      </c>
      <c r="G158" s="175">
        <v>48.0</v>
      </c>
      <c r="H158" s="176">
        <v>0.0</v>
      </c>
      <c r="I158" s="176">
        <v>0.0</v>
      </c>
      <c r="J158" s="176">
        <v>0.0</v>
      </c>
      <c r="K158" s="176">
        <v>0.0</v>
      </c>
      <c r="L158" s="176">
        <v>0.0</v>
      </c>
      <c r="M158" s="176">
        <v>0.0</v>
      </c>
      <c r="N158" s="176">
        <v>0.0</v>
      </c>
      <c r="O158" s="135">
        <f t="shared" si="41"/>
        <v>0</v>
      </c>
      <c r="P158" s="136">
        <f t="shared" si="42"/>
        <v>0</v>
      </c>
    </row>
    <row r="159">
      <c r="A159" s="201" t="s">
        <v>1431</v>
      </c>
      <c r="B159" s="219">
        <v>45797.0</v>
      </c>
      <c r="C159" s="138" t="s">
        <v>19</v>
      </c>
      <c r="D159" s="139">
        <v>1.0</v>
      </c>
      <c r="E159" s="146" t="s">
        <v>1432</v>
      </c>
      <c r="F159" s="135">
        <v>33053.0</v>
      </c>
      <c r="G159" s="135">
        <v>31138.0</v>
      </c>
      <c r="H159" s="135">
        <v>166.0</v>
      </c>
      <c r="I159" s="135">
        <v>75.0</v>
      </c>
      <c r="J159" s="135">
        <v>65.0</v>
      </c>
      <c r="K159" s="135">
        <v>3.0</v>
      </c>
      <c r="L159" s="135">
        <v>0.0</v>
      </c>
      <c r="M159" s="135">
        <v>0.0</v>
      </c>
      <c r="N159" s="135">
        <v>0.0</v>
      </c>
      <c r="O159" s="135">
        <f t="shared" si="41"/>
        <v>309</v>
      </c>
      <c r="P159" s="136">
        <f t="shared" si="42"/>
        <v>0.9923566061</v>
      </c>
    </row>
    <row r="160">
      <c r="B160" s="219"/>
      <c r="C160" s="138" t="s">
        <v>663</v>
      </c>
      <c r="D160" s="139">
        <v>1.0</v>
      </c>
      <c r="E160" s="133"/>
      <c r="F160" s="135">
        <v>575.0</v>
      </c>
      <c r="G160" s="135">
        <v>108.0</v>
      </c>
      <c r="H160" s="135">
        <v>8.0</v>
      </c>
      <c r="I160" s="135">
        <v>0.0</v>
      </c>
      <c r="J160" s="135">
        <v>0.0</v>
      </c>
      <c r="K160" s="135">
        <v>0.0</v>
      </c>
      <c r="L160" s="135">
        <v>0.0</v>
      </c>
      <c r="M160" s="135">
        <v>1.0</v>
      </c>
      <c r="N160" s="135">
        <v>17.0</v>
      </c>
      <c r="O160" s="135">
        <f t="shared" si="41"/>
        <v>26</v>
      </c>
      <c r="P160" s="136">
        <f t="shared" si="42"/>
        <v>24.07407407</v>
      </c>
    </row>
    <row r="161">
      <c r="B161" s="219"/>
      <c r="C161" s="138" t="s">
        <v>1433</v>
      </c>
      <c r="D161" s="139">
        <v>1.0</v>
      </c>
      <c r="E161" s="133"/>
      <c r="F161" s="135">
        <v>511.0</v>
      </c>
      <c r="G161" s="135">
        <v>98.0</v>
      </c>
      <c r="H161" s="135">
        <v>3.0</v>
      </c>
      <c r="I161" s="135">
        <v>0.0</v>
      </c>
      <c r="J161" s="135">
        <v>0.0</v>
      </c>
      <c r="K161" s="135">
        <v>0.0</v>
      </c>
      <c r="L161" s="135">
        <v>0.0</v>
      </c>
      <c r="M161" s="135">
        <v>0.0</v>
      </c>
      <c r="N161" s="135">
        <v>0.0</v>
      </c>
      <c r="O161" s="135">
        <f t="shared" si="41"/>
        <v>3</v>
      </c>
      <c r="P161" s="136">
        <f t="shared" si="42"/>
        <v>3.06122449</v>
      </c>
    </row>
    <row r="162">
      <c r="B162" s="219"/>
      <c r="C162" s="138" t="s">
        <v>1434</v>
      </c>
      <c r="D162" s="139">
        <v>1.0</v>
      </c>
      <c r="E162" s="133"/>
      <c r="F162" s="135">
        <v>458.0</v>
      </c>
      <c r="G162" s="135">
        <v>75.0</v>
      </c>
      <c r="H162" s="135">
        <v>2.0</v>
      </c>
      <c r="I162" s="135">
        <v>0.0</v>
      </c>
      <c r="J162" s="135">
        <v>0.0</v>
      </c>
      <c r="K162" s="135">
        <v>0.0</v>
      </c>
      <c r="L162" s="135">
        <v>2.0</v>
      </c>
      <c r="M162" s="135">
        <v>2.0</v>
      </c>
      <c r="N162" s="135">
        <v>24.0</v>
      </c>
      <c r="O162" s="135">
        <f t="shared" si="41"/>
        <v>30</v>
      </c>
      <c r="P162" s="136">
        <f t="shared" si="42"/>
        <v>40</v>
      </c>
    </row>
    <row r="163">
      <c r="A163" s="201" t="s">
        <v>1435</v>
      </c>
      <c r="B163" s="133" t="s">
        <v>1436</v>
      </c>
      <c r="C163" s="138" t="s">
        <v>1437</v>
      </c>
      <c r="D163" s="139">
        <v>1.0</v>
      </c>
      <c r="E163" s="146" t="s">
        <v>1438</v>
      </c>
      <c r="F163" s="135">
        <v>33019.0</v>
      </c>
      <c r="G163" s="135">
        <v>24338.0</v>
      </c>
      <c r="H163" s="135">
        <v>367.0</v>
      </c>
      <c r="I163" s="135">
        <v>8.0</v>
      </c>
      <c r="J163" s="135">
        <v>26.0</v>
      </c>
      <c r="K163" s="135">
        <v>23.0</v>
      </c>
      <c r="L163" s="135">
        <v>211.0</v>
      </c>
      <c r="M163" s="135">
        <v>0.0</v>
      </c>
      <c r="N163" s="135">
        <v>1234.0</v>
      </c>
      <c r="O163" s="135">
        <f t="shared" si="41"/>
        <v>1869</v>
      </c>
      <c r="P163" s="136">
        <f t="shared" si="42"/>
        <v>7.679349166</v>
      </c>
    </row>
    <row r="164">
      <c r="A164" s="201" t="s">
        <v>1439</v>
      </c>
      <c r="B164" s="133" t="s">
        <v>1436</v>
      </c>
      <c r="C164" s="138" t="s">
        <v>1437</v>
      </c>
      <c r="D164" s="139">
        <v>1.0</v>
      </c>
      <c r="E164" s="146" t="s">
        <v>1440</v>
      </c>
      <c r="F164" s="135">
        <v>40356.0</v>
      </c>
      <c r="G164" s="135">
        <v>25846.0</v>
      </c>
      <c r="H164" s="135">
        <v>673.0</v>
      </c>
      <c r="I164" s="135">
        <v>72.0</v>
      </c>
      <c r="J164" s="135">
        <v>74.0</v>
      </c>
      <c r="K164" s="135">
        <v>83.0</v>
      </c>
      <c r="L164" s="135">
        <v>1101.0</v>
      </c>
      <c r="M164" s="135">
        <v>0.0</v>
      </c>
      <c r="N164" s="135">
        <v>1101.0</v>
      </c>
      <c r="O164" s="135">
        <f t="shared" si="41"/>
        <v>3104</v>
      </c>
      <c r="P164" s="136">
        <f t="shared" si="42"/>
        <v>12.0095953</v>
      </c>
    </row>
    <row r="165">
      <c r="A165" s="201" t="s">
        <v>1441</v>
      </c>
      <c r="B165" s="133" t="s">
        <v>1442</v>
      </c>
      <c r="C165" s="138" t="s">
        <v>1437</v>
      </c>
      <c r="D165" s="139">
        <v>1.0</v>
      </c>
      <c r="E165" s="146" t="s">
        <v>1443</v>
      </c>
      <c r="F165" s="135">
        <v>16894.0</v>
      </c>
      <c r="G165" s="135">
        <v>11733.0</v>
      </c>
      <c r="H165" s="135">
        <v>209.0</v>
      </c>
      <c r="I165" s="135">
        <v>2.0</v>
      </c>
      <c r="J165" s="135">
        <v>19.0</v>
      </c>
      <c r="K165" s="135">
        <v>15.0</v>
      </c>
      <c r="L165" s="135">
        <v>60.0</v>
      </c>
      <c r="M165" s="135">
        <v>0.0</v>
      </c>
      <c r="N165" s="135">
        <v>725.0</v>
      </c>
      <c r="O165" s="135">
        <f t="shared" si="41"/>
        <v>1030</v>
      </c>
      <c r="P165" s="136">
        <f t="shared" si="42"/>
        <v>8.778658485</v>
      </c>
    </row>
    <row r="166">
      <c r="A166" s="201" t="s">
        <v>1444</v>
      </c>
      <c r="B166" s="133" t="s">
        <v>1442</v>
      </c>
      <c r="C166" s="138" t="s">
        <v>1437</v>
      </c>
      <c r="D166" s="139">
        <v>1.0</v>
      </c>
      <c r="E166" s="140" t="s">
        <v>1445</v>
      </c>
      <c r="F166" s="135">
        <v>24787.0</v>
      </c>
      <c r="G166" s="135">
        <v>17538.0</v>
      </c>
      <c r="H166" s="135">
        <v>275.0</v>
      </c>
      <c r="I166" s="135">
        <v>18.0</v>
      </c>
      <c r="J166" s="135">
        <v>12.0</v>
      </c>
      <c r="K166" s="135">
        <v>13.0</v>
      </c>
      <c r="L166" s="135">
        <v>95.0</v>
      </c>
      <c r="M166" s="135">
        <v>0.0</v>
      </c>
      <c r="N166" s="135">
        <v>969.0</v>
      </c>
      <c r="O166" s="135">
        <f t="shared" si="41"/>
        <v>1382</v>
      </c>
      <c r="P166" s="136">
        <f t="shared" si="42"/>
        <v>7.880031931</v>
      </c>
    </row>
    <row r="167">
      <c r="A167" s="201" t="s">
        <v>1446</v>
      </c>
      <c r="B167" s="133" t="s">
        <v>1436</v>
      </c>
      <c r="C167" s="138" t="s">
        <v>19</v>
      </c>
      <c r="D167" s="139">
        <v>1.0</v>
      </c>
      <c r="E167" s="146" t="s">
        <v>1447</v>
      </c>
      <c r="F167" s="135">
        <v>22597.0</v>
      </c>
      <c r="G167" s="135">
        <v>13278.0</v>
      </c>
      <c r="H167" s="135">
        <v>156.0</v>
      </c>
      <c r="I167" s="135">
        <v>11.0</v>
      </c>
      <c r="J167" s="135">
        <v>8.0</v>
      </c>
      <c r="K167" s="135">
        <v>7.0</v>
      </c>
      <c r="L167" s="135">
        <v>0.0</v>
      </c>
      <c r="M167" s="135">
        <v>0.0</v>
      </c>
      <c r="N167" s="135">
        <v>0.0</v>
      </c>
      <c r="O167" s="135">
        <f t="shared" si="41"/>
        <v>182</v>
      </c>
      <c r="P167" s="136">
        <f t="shared" si="42"/>
        <v>1.370688357</v>
      </c>
    </row>
    <row r="168">
      <c r="B168" s="133"/>
      <c r="C168" s="138" t="s">
        <v>663</v>
      </c>
      <c r="D168" s="139">
        <v>1.0</v>
      </c>
      <c r="E168" s="133"/>
      <c r="F168" s="135">
        <v>1340.0</v>
      </c>
      <c r="G168" s="135">
        <v>1253.0</v>
      </c>
      <c r="H168" s="135">
        <v>6.0</v>
      </c>
      <c r="I168" s="135">
        <v>0.0</v>
      </c>
      <c r="J168" s="135">
        <v>0.0</v>
      </c>
      <c r="K168" s="135">
        <v>0.0</v>
      </c>
      <c r="L168" s="135">
        <v>4.0</v>
      </c>
      <c r="M168" s="135">
        <v>0.0</v>
      </c>
      <c r="N168" s="135">
        <v>4.0</v>
      </c>
      <c r="O168" s="135">
        <f t="shared" si="41"/>
        <v>14</v>
      </c>
      <c r="P168" s="136">
        <f t="shared" si="42"/>
        <v>1.117318436</v>
      </c>
    </row>
    <row r="169">
      <c r="B169" s="133"/>
      <c r="C169" s="138" t="s">
        <v>1433</v>
      </c>
      <c r="D169" s="139">
        <v>1.0</v>
      </c>
      <c r="E169" s="133"/>
      <c r="F169" s="135">
        <v>3461.0</v>
      </c>
      <c r="G169" s="135">
        <v>3269.0</v>
      </c>
      <c r="H169" s="135">
        <v>8.0</v>
      </c>
      <c r="I169" s="135">
        <v>0.0</v>
      </c>
      <c r="J169" s="135">
        <v>0.0</v>
      </c>
      <c r="K169" s="135">
        <v>1.0</v>
      </c>
      <c r="L169" s="135">
        <v>8.0</v>
      </c>
      <c r="M169" s="135">
        <v>1.0</v>
      </c>
      <c r="N169" s="135">
        <v>33.0</v>
      </c>
      <c r="O169" s="135">
        <f t="shared" si="41"/>
        <v>51</v>
      </c>
      <c r="P169" s="136">
        <f t="shared" si="42"/>
        <v>1.560110125</v>
      </c>
    </row>
    <row r="170">
      <c r="B170" s="133"/>
      <c r="C170" s="138" t="s">
        <v>1434</v>
      </c>
      <c r="D170" s="139">
        <v>1.0</v>
      </c>
      <c r="E170" s="133"/>
      <c r="F170" s="135">
        <v>4332.0</v>
      </c>
      <c r="G170" s="135">
        <v>4192.0</v>
      </c>
      <c r="H170" s="135">
        <v>14.0</v>
      </c>
      <c r="I170" s="135">
        <v>0.0</v>
      </c>
      <c r="J170" s="135">
        <v>0.0</v>
      </c>
      <c r="K170" s="135">
        <v>0.0</v>
      </c>
      <c r="L170" s="135">
        <v>9.0</v>
      </c>
      <c r="M170" s="135">
        <v>1.0</v>
      </c>
      <c r="N170" s="135">
        <v>12.0</v>
      </c>
      <c r="O170" s="135">
        <f t="shared" si="41"/>
        <v>36</v>
      </c>
      <c r="P170" s="136">
        <f t="shared" si="42"/>
        <v>0.858778626</v>
      </c>
    </row>
    <row r="171">
      <c r="A171" s="131"/>
      <c r="B171" s="133"/>
      <c r="C171" s="133"/>
      <c r="D171" s="133"/>
      <c r="E171" s="133"/>
      <c r="F171" s="134"/>
      <c r="G171" s="134"/>
      <c r="H171" s="134"/>
      <c r="I171" s="134"/>
      <c r="J171" s="134"/>
      <c r="K171" s="134"/>
      <c r="L171" s="134"/>
      <c r="M171" s="134"/>
      <c r="N171" s="134"/>
      <c r="O171" s="134"/>
      <c r="P171" s="137"/>
    </row>
    <row r="172">
      <c r="A172" s="220" t="s">
        <v>1448</v>
      </c>
      <c r="B172" s="221"/>
      <c r="C172" s="221"/>
      <c r="D172" s="221"/>
      <c r="E172" s="221"/>
      <c r="F172" s="222"/>
      <c r="G172" s="222"/>
      <c r="H172" s="222"/>
      <c r="I172" s="222"/>
      <c r="J172" s="222"/>
      <c r="K172" s="222"/>
      <c r="L172" s="222"/>
      <c r="M172" s="222"/>
      <c r="N172" s="222"/>
      <c r="O172" s="222"/>
      <c r="P172" s="223"/>
    </row>
    <row r="173">
      <c r="A173" s="200" t="s">
        <v>1449</v>
      </c>
      <c r="B173" s="132">
        <v>45784.0</v>
      </c>
      <c r="C173" s="138" t="s">
        <v>1450</v>
      </c>
      <c r="D173" s="139">
        <v>1.0</v>
      </c>
      <c r="E173" s="146" t="s">
        <v>1241</v>
      </c>
      <c r="F173" s="224">
        <v>358085.0</v>
      </c>
      <c r="G173" s="224">
        <v>166422.0</v>
      </c>
      <c r="H173" s="225">
        <v>770.0</v>
      </c>
      <c r="I173" s="225">
        <v>6.0</v>
      </c>
      <c r="J173" s="225">
        <v>83.0</v>
      </c>
      <c r="K173" s="225">
        <v>191.0</v>
      </c>
      <c r="L173" s="225">
        <v>631.0</v>
      </c>
      <c r="M173" s="225">
        <v>0.0</v>
      </c>
      <c r="N173" s="225">
        <v>3634.0</v>
      </c>
      <c r="O173" s="224">
        <f>SUM(H173:N173)</f>
        <v>5315</v>
      </c>
      <c r="P173" s="226">
        <f t="shared" ref="P173:P184" si="43">O173/G173*100</f>
        <v>3.193688334</v>
      </c>
    </row>
    <row r="174">
      <c r="A174" s="200" t="s">
        <v>1451</v>
      </c>
      <c r="B174" s="227">
        <v>45784.0</v>
      </c>
      <c r="C174" s="138" t="s">
        <v>1452</v>
      </c>
      <c r="D174" s="139">
        <v>1.0</v>
      </c>
      <c r="E174" s="133"/>
      <c r="F174" s="135">
        <v>454868.0</v>
      </c>
      <c r="G174" s="135">
        <v>121870.0</v>
      </c>
      <c r="H174" s="135">
        <v>0.0</v>
      </c>
      <c r="I174" s="135">
        <v>0.0</v>
      </c>
      <c r="J174" s="135">
        <v>0.0</v>
      </c>
      <c r="K174" s="135">
        <v>0.0</v>
      </c>
      <c r="L174" s="135">
        <v>122.0</v>
      </c>
      <c r="M174" s="135">
        <v>0.0</v>
      </c>
      <c r="N174" s="135">
        <v>1207.0</v>
      </c>
      <c r="O174" s="135">
        <f t="shared" ref="O174:O184" si="44">sum(H174:N174)</f>
        <v>1329</v>
      </c>
      <c r="P174" s="136">
        <f t="shared" si="43"/>
        <v>1.090506277</v>
      </c>
    </row>
    <row r="175">
      <c r="A175" s="200" t="s">
        <v>1453</v>
      </c>
      <c r="B175" s="227">
        <v>45784.0</v>
      </c>
      <c r="C175" s="138" t="s">
        <v>1454</v>
      </c>
      <c r="D175" s="139">
        <v>1.0</v>
      </c>
      <c r="E175" s="133"/>
      <c r="F175" s="135">
        <v>67488.0</v>
      </c>
      <c r="G175" s="135">
        <v>92028.0</v>
      </c>
      <c r="H175" s="134"/>
      <c r="I175" s="134"/>
      <c r="J175" s="134"/>
      <c r="K175" s="134"/>
      <c r="L175" s="134"/>
      <c r="M175" s="134"/>
      <c r="N175" s="135">
        <v>4498.0</v>
      </c>
      <c r="O175" s="135">
        <f t="shared" si="44"/>
        <v>4498</v>
      </c>
      <c r="P175" s="136">
        <f t="shared" si="43"/>
        <v>4.887642891</v>
      </c>
    </row>
    <row r="176">
      <c r="A176" s="200" t="s">
        <v>1455</v>
      </c>
      <c r="B176" s="227">
        <v>45784.0</v>
      </c>
      <c r="C176" s="138" t="s">
        <v>1456</v>
      </c>
      <c r="D176" s="139">
        <v>1.0</v>
      </c>
      <c r="E176" s="133"/>
      <c r="F176" s="135">
        <v>520000.0</v>
      </c>
      <c r="G176" s="135">
        <v>343800.0</v>
      </c>
      <c r="H176" s="134"/>
      <c r="I176" s="134"/>
      <c r="J176" s="134"/>
      <c r="K176" s="134"/>
      <c r="L176" s="134"/>
      <c r="M176" s="134"/>
      <c r="N176" s="135">
        <v>3080.0</v>
      </c>
      <c r="O176" s="135">
        <f t="shared" si="44"/>
        <v>3080</v>
      </c>
      <c r="P176" s="136">
        <f t="shared" si="43"/>
        <v>0.8958696917</v>
      </c>
    </row>
    <row r="177">
      <c r="A177" s="200" t="s">
        <v>1453</v>
      </c>
      <c r="B177" s="227">
        <v>45792.0</v>
      </c>
      <c r="C177" s="138" t="s">
        <v>1457</v>
      </c>
      <c r="D177" s="139">
        <v>1.0</v>
      </c>
      <c r="E177" s="133"/>
      <c r="F177" s="135">
        <v>50371.0</v>
      </c>
      <c r="G177" s="135">
        <v>44369.0</v>
      </c>
      <c r="H177" s="134"/>
      <c r="I177" s="134"/>
      <c r="J177" s="134"/>
      <c r="K177" s="134"/>
      <c r="L177" s="134"/>
      <c r="M177" s="134"/>
      <c r="N177" s="135">
        <v>3346.0</v>
      </c>
      <c r="O177" s="135">
        <f t="shared" si="44"/>
        <v>3346</v>
      </c>
      <c r="P177" s="136">
        <f t="shared" si="43"/>
        <v>7.541301359</v>
      </c>
    </row>
    <row r="178">
      <c r="A178" s="200" t="s">
        <v>1455</v>
      </c>
      <c r="B178" s="227">
        <v>45792.0</v>
      </c>
      <c r="C178" s="138" t="s">
        <v>1458</v>
      </c>
      <c r="D178" s="139">
        <v>1.0</v>
      </c>
      <c r="E178" s="133"/>
      <c r="F178" s="135">
        <v>140849.0</v>
      </c>
      <c r="G178" s="135">
        <v>102309.0</v>
      </c>
      <c r="H178" s="134"/>
      <c r="I178" s="134"/>
      <c r="J178" s="134"/>
      <c r="K178" s="134"/>
      <c r="L178" s="134"/>
      <c r="M178" s="134"/>
      <c r="N178" s="135">
        <v>2740.0</v>
      </c>
      <c r="O178" s="135">
        <f t="shared" si="44"/>
        <v>2740</v>
      </c>
      <c r="P178" s="136">
        <f t="shared" si="43"/>
        <v>2.678161257</v>
      </c>
    </row>
    <row r="179">
      <c r="A179" s="200" t="s">
        <v>1459</v>
      </c>
      <c r="B179" s="133" t="s">
        <v>1460</v>
      </c>
      <c r="C179" s="138" t="s">
        <v>1461</v>
      </c>
      <c r="D179" s="139">
        <v>1.0</v>
      </c>
      <c r="E179" s="133"/>
      <c r="F179" s="135">
        <v>208900.0</v>
      </c>
      <c r="G179" s="135">
        <v>189300.0</v>
      </c>
      <c r="H179" s="134"/>
      <c r="I179" s="134"/>
      <c r="J179" s="134"/>
      <c r="K179" s="134"/>
      <c r="L179" s="134"/>
      <c r="M179" s="134"/>
      <c r="N179" s="135">
        <v>10578.0</v>
      </c>
      <c r="O179" s="135">
        <f t="shared" si="44"/>
        <v>10578</v>
      </c>
      <c r="P179" s="136">
        <f t="shared" si="43"/>
        <v>5.587955626</v>
      </c>
    </row>
    <row r="180">
      <c r="A180" s="200" t="s">
        <v>1449</v>
      </c>
      <c r="B180" s="133" t="s">
        <v>1460</v>
      </c>
      <c r="C180" s="138" t="s">
        <v>1462</v>
      </c>
      <c r="D180" s="139">
        <v>1.0</v>
      </c>
      <c r="E180" s="133"/>
      <c r="F180" s="135">
        <v>986250.0</v>
      </c>
      <c r="G180" s="135">
        <v>412465.0</v>
      </c>
      <c r="H180" s="134"/>
      <c r="I180" s="134"/>
      <c r="J180" s="134"/>
      <c r="K180" s="134"/>
      <c r="L180" s="134"/>
      <c r="M180" s="134"/>
      <c r="N180" s="135">
        <v>7795.0</v>
      </c>
      <c r="O180" s="135">
        <f t="shared" si="44"/>
        <v>7795</v>
      </c>
      <c r="P180" s="136">
        <f t="shared" si="43"/>
        <v>1.889857321</v>
      </c>
    </row>
    <row r="181">
      <c r="A181" s="200" t="s">
        <v>1463</v>
      </c>
      <c r="B181" s="133" t="s">
        <v>1460</v>
      </c>
      <c r="C181" s="138" t="s">
        <v>1464</v>
      </c>
      <c r="D181" s="139">
        <v>1.0</v>
      </c>
      <c r="E181" s="133"/>
      <c r="F181" s="135">
        <v>90892.0</v>
      </c>
      <c r="G181" s="135">
        <v>87285.0</v>
      </c>
      <c r="H181" s="134"/>
      <c r="I181" s="134"/>
      <c r="J181" s="134"/>
      <c r="K181" s="134"/>
      <c r="L181" s="134"/>
      <c r="M181" s="134"/>
      <c r="N181" s="135">
        <v>5058.0</v>
      </c>
      <c r="O181" s="135">
        <f t="shared" si="44"/>
        <v>5058</v>
      </c>
      <c r="P181" s="136">
        <f t="shared" si="43"/>
        <v>5.794810105</v>
      </c>
    </row>
    <row r="182">
      <c r="A182" s="200" t="s">
        <v>1465</v>
      </c>
      <c r="B182" s="133" t="s">
        <v>1460</v>
      </c>
      <c r="C182" s="138" t="s">
        <v>1464</v>
      </c>
      <c r="D182" s="139">
        <v>1.0</v>
      </c>
      <c r="E182" s="133"/>
      <c r="F182" s="135">
        <v>629656.0</v>
      </c>
      <c r="G182" s="135">
        <v>562886.0</v>
      </c>
      <c r="H182" s="134"/>
      <c r="I182" s="134"/>
      <c r="J182" s="134"/>
      <c r="K182" s="134"/>
      <c r="L182" s="134"/>
      <c r="M182" s="134"/>
      <c r="N182" s="135">
        <v>27166.0</v>
      </c>
      <c r="O182" s="135">
        <f t="shared" si="44"/>
        <v>27166</v>
      </c>
      <c r="P182" s="136">
        <f t="shared" si="43"/>
        <v>4.826199266</v>
      </c>
    </row>
    <row r="183">
      <c r="A183" s="200" t="s">
        <v>1463</v>
      </c>
      <c r="B183" s="133" t="s">
        <v>1460</v>
      </c>
      <c r="C183" s="138" t="s">
        <v>1466</v>
      </c>
      <c r="D183" s="139">
        <v>1.0</v>
      </c>
      <c r="E183" s="133"/>
      <c r="F183" s="135">
        <v>62600.0</v>
      </c>
      <c r="G183" s="135">
        <v>51620.0</v>
      </c>
      <c r="H183" s="134"/>
      <c r="I183" s="134"/>
      <c r="J183" s="134"/>
      <c r="K183" s="134"/>
      <c r="L183" s="134"/>
      <c r="M183" s="134"/>
      <c r="N183" s="135">
        <v>3454.0</v>
      </c>
      <c r="O183" s="135">
        <f t="shared" si="44"/>
        <v>3454</v>
      </c>
      <c r="P183" s="136">
        <f t="shared" si="43"/>
        <v>6.691204959</v>
      </c>
    </row>
    <row r="184">
      <c r="A184" s="200" t="s">
        <v>1465</v>
      </c>
      <c r="B184" s="133" t="s">
        <v>1460</v>
      </c>
      <c r="C184" s="138" t="s">
        <v>1466</v>
      </c>
      <c r="D184" s="139">
        <v>1.0</v>
      </c>
      <c r="E184" s="133"/>
      <c r="F184" s="135">
        <v>111500.0</v>
      </c>
      <c r="G184" s="135">
        <v>99490.0</v>
      </c>
      <c r="H184" s="134"/>
      <c r="I184" s="134"/>
      <c r="J184" s="134"/>
      <c r="K184" s="134"/>
      <c r="L184" s="134"/>
      <c r="M184" s="134"/>
      <c r="N184" s="135">
        <v>7428.0</v>
      </c>
      <c r="O184" s="135">
        <f t="shared" si="44"/>
        <v>7428</v>
      </c>
      <c r="P184" s="136">
        <f t="shared" si="43"/>
        <v>7.466076993</v>
      </c>
    </row>
    <row r="185">
      <c r="A185" s="131"/>
      <c r="B185" s="133"/>
      <c r="C185" s="133"/>
      <c r="D185" s="133"/>
      <c r="E185" s="133"/>
      <c r="F185" s="134"/>
      <c r="G185" s="134"/>
      <c r="H185" s="134"/>
      <c r="I185" s="134"/>
      <c r="J185" s="134"/>
      <c r="K185" s="134"/>
      <c r="L185" s="134"/>
      <c r="M185" s="134"/>
      <c r="N185" s="134"/>
      <c r="O185" s="134"/>
      <c r="P185" s="137"/>
    </row>
    <row r="186">
      <c r="A186" s="131"/>
      <c r="B186" s="133"/>
      <c r="C186" s="133"/>
      <c r="D186" s="133"/>
      <c r="E186" s="133"/>
      <c r="F186" s="134"/>
      <c r="G186" s="134"/>
      <c r="H186" s="134"/>
      <c r="I186" s="134"/>
      <c r="J186" s="134"/>
      <c r="K186" s="134"/>
      <c r="L186" s="134"/>
      <c r="M186" s="134"/>
      <c r="N186" s="134"/>
      <c r="O186" s="134"/>
      <c r="P186" s="137"/>
    </row>
    <row r="187">
      <c r="A187" s="131"/>
      <c r="B187" s="133"/>
      <c r="C187" s="133"/>
      <c r="D187" s="133"/>
      <c r="E187" s="133"/>
      <c r="F187" s="134"/>
      <c r="G187" s="134"/>
      <c r="H187" s="134"/>
      <c r="I187" s="134"/>
      <c r="J187" s="134"/>
      <c r="K187" s="134"/>
      <c r="L187" s="134"/>
      <c r="M187" s="134"/>
      <c r="N187" s="134"/>
      <c r="O187" s="134"/>
      <c r="P187" s="137"/>
    </row>
    <row r="188">
      <c r="A188" s="228"/>
      <c r="B188" s="229"/>
      <c r="C188" s="230" t="s">
        <v>1467</v>
      </c>
      <c r="D188" s="231">
        <f>sum(D3:D187)</f>
        <v>127</v>
      </c>
      <c r="E188" s="229"/>
      <c r="F188" s="232" t="str">
        <f t="shared" ref="F188:O188" si="45">Sum(F3:F187)</f>
        <v>#REF!</v>
      </c>
      <c r="G188" s="232" t="str">
        <f t="shared" si="45"/>
        <v>#REF!</v>
      </c>
      <c r="H188" s="232" t="str">
        <f t="shared" si="45"/>
        <v>#REF!</v>
      </c>
      <c r="I188" s="232">
        <f t="shared" si="45"/>
        <v>2620</v>
      </c>
      <c r="J188" s="232">
        <f t="shared" si="45"/>
        <v>1768</v>
      </c>
      <c r="K188" s="232" t="str">
        <f t="shared" si="45"/>
        <v>#REF!</v>
      </c>
      <c r="L188" s="232" t="str">
        <f t="shared" si="45"/>
        <v>#REF!</v>
      </c>
      <c r="M188" s="232" t="str">
        <f t="shared" si="45"/>
        <v>#REF!</v>
      </c>
      <c r="N188" s="232" t="str">
        <f t="shared" si="45"/>
        <v>#REF!</v>
      </c>
      <c r="O188" s="232" t="str">
        <f t="shared" si="45"/>
        <v>#REF!</v>
      </c>
      <c r="P188" s="233" t="str">
        <f>O188/G188*100</f>
        <v>#REF!</v>
      </c>
    </row>
  </sheetData>
  <mergeCells count="10">
    <mergeCell ref="A157:A158"/>
    <mergeCell ref="A159:A162"/>
    <mergeCell ref="A167:A170"/>
    <mergeCell ref="A1:A2"/>
    <mergeCell ref="B1:B2"/>
    <mergeCell ref="C1:C2"/>
    <mergeCell ref="D1:D2"/>
    <mergeCell ref="E1:E2"/>
    <mergeCell ref="F1:P1"/>
    <mergeCell ref="A139:A140"/>
  </mergeCells>
  <hyperlinks>
    <hyperlink r:id="rId1" ref="E11"/>
    <hyperlink r:id="rId2" ref="E12"/>
    <hyperlink r:id="rId3" ref="E13"/>
    <hyperlink r:id="rId4" ref="E14"/>
    <hyperlink r:id="rId5" ref="E19"/>
    <hyperlink r:id="rId6" ref="E20"/>
    <hyperlink r:id="rId7" ref="E21"/>
    <hyperlink r:id="rId8" ref="E22"/>
    <hyperlink r:id="rId9" ref="E23"/>
    <hyperlink r:id="rId10" ref="E24"/>
    <hyperlink r:id="rId11" ref="E25"/>
    <hyperlink r:id="rId12" ref="E26"/>
    <hyperlink r:id="rId13" ref="E27"/>
    <hyperlink r:id="rId14" ref="E31"/>
    <hyperlink r:id="rId15" ref="E32"/>
    <hyperlink r:id="rId16" ref="E33"/>
    <hyperlink r:id="rId17" ref="E34"/>
    <hyperlink r:id="rId18" ref="E35"/>
    <hyperlink r:id="rId19" ref="E36"/>
    <hyperlink r:id="rId20" ref="E37"/>
    <hyperlink r:id="rId21" ref="E40"/>
    <hyperlink r:id="rId22" ref="E41"/>
    <hyperlink r:id="rId23" ref="E42"/>
    <hyperlink r:id="rId24" ref="E43"/>
    <hyperlink r:id="rId25" ref="E48"/>
    <hyperlink r:id="rId26" ref="E49"/>
    <hyperlink r:id="rId27" ref="E50"/>
    <hyperlink r:id="rId28" ref="E51"/>
    <hyperlink r:id="rId29" ref="E54"/>
    <hyperlink r:id="rId30" ref="E55"/>
    <hyperlink r:id="rId31" ref="E56"/>
    <hyperlink r:id="rId32" ref="E57"/>
    <hyperlink r:id="rId33" ref="E58"/>
    <hyperlink r:id="rId34" ref="A61"/>
    <hyperlink r:id="rId35" ref="E61"/>
    <hyperlink r:id="rId36" ref="E62"/>
    <hyperlink r:id="rId37" ref="E63"/>
    <hyperlink r:id="rId38" ref="E68"/>
    <hyperlink r:id="rId39" ref="E69"/>
    <hyperlink r:id="rId40" ref="E70"/>
    <hyperlink r:id="rId41" ref="E71"/>
    <hyperlink r:id="rId42" ref="E75"/>
    <hyperlink r:id="rId43" ref="E76"/>
    <hyperlink r:id="rId44" ref="E77"/>
    <hyperlink r:id="rId45" ref="E80"/>
    <hyperlink r:id="rId46" ref="E81"/>
    <hyperlink r:id="rId47" ref="E82"/>
    <hyperlink r:id="rId48" ref="E86"/>
    <hyperlink r:id="rId49" ref="E87"/>
    <hyperlink r:id="rId50" ref="E91"/>
    <hyperlink r:id="rId51" ref="E92"/>
    <hyperlink r:id="rId52" ref="E96"/>
    <hyperlink r:id="rId53" ref="E97"/>
    <hyperlink r:id="rId54" ref="E98"/>
    <hyperlink r:id="rId55" ref="E99"/>
    <hyperlink r:id="rId56" ref="E100"/>
    <hyperlink r:id="rId57" ref="E101"/>
    <hyperlink r:id="rId58" ref="E102"/>
    <hyperlink r:id="rId59" ref="E103"/>
    <hyperlink r:id="rId60" ref="E104"/>
    <hyperlink r:id="rId61" ref="E105"/>
    <hyperlink r:id="rId62" ref="E106"/>
    <hyperlink r:id="rId63" ref="E107"/>
    <hyperlink r:id="rId64" ref="E108"/>
    <hyperlink r:id="rId65" ref="E109"/>
    <hyperlink r:id="rId66" ref="E110"/>
    <hyperlink r:id="rId67" ref="E111"/>
    <hyperlink r:id="rId68" ref="E112"/>
    <hyperlink r:id="rId69" ref="E113"/>
    <hyperlink r:id="rId70" ref="E116"/>
    <hyperlink r:id="rId71" ref="E117"/>
    <hyperlink r:id="rId72" ref="E118"/>
    <hyperlink r:id="rId73" ref="E119"/>
    <hyperlink r:id="rId74" ref="E122"/>
    <hyperlink r:id="rId75" ref="E123"/>
    <hyperlink r:id="rId76" ref="E124"/>
    <hyperlink r:id="rId77" ref="E125"/>
    <hyperlink r:id="rId78" ref="E126"/>
    <hyperlink r:id="rId79" ref="E129"/>
    <hyperlink r:id="rId80" ref="E130"/>
    <hyperlink r:id="rId81" ref="E131"/>
    <hyperlink r:id="rId82" ref="E132"/>
    <hyperlink r:id="rId83" ref="E133"/>
    <hyperlink r:id="rId84" ref="E134"/>
    <hyperlink r:id="rId85" ref="E135"/>
    <hyperlink r:id="rId86" ref="E136"/>
    <hyperlink r:id="rId87" ref="E137"/>
    <hyperlink r:id="rId88" ref="E138"/>
    <hyperlink r:id="rId89" ref="E139"/>
    <hyperlink r:id="rId90" ref="E140"/>
    <hyperlink r:id="rId91" ref="E142"/>
    <hyperlink r:id="rId92" ref="E145"/>
    <hyperlink r:id="rId93" ref="E146"/>
    <hyperlink r:id="rId94" ref="E147"/>
    <hyperlink r:id="rId95" ref="E150"/>
    <hyperlink r:id="rId96" ref="E151"/>
    <hyperlink r:id="rId97" ref="E152"/>
    <hyperlink r:id="rId98" ref="E153"/>
    <hyperlink r:id="rId99" ref="E154"/>
    <hyperlink r:id="rId100" ref="E157"/>
    <hyperlink r:id="rId101" ref="E159"/>
    <hyperlink r:id="rId102" ref="E163"/>
    <hyperlink r:id="rId103" ref="E164"/>
    <hyperlink r:id="rId104" ref="E165"/>
    <hyperlink r:id="rId105" ref="E166"/>
    <hyperlink r:id="rId106" ref="E167"/>
    <hyperlink r:id="rId107" ref="E173"/>
  </hyperlinks>
  <drawing r:id="rId108"/>
</worksheet>
</file>